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_Catalog" sheetId="2" state="visible" r:id="rId2"/>
    <sheet xmlns:r="http://schemas.openxmlformats.org/officeDocument/2006/relationships" name="Sizing_Layout" sheetId="3" state="visible" r:id="rId3"/>
    <sheet xmlns:r="http://schemas.openxmlformats.org/officeDocument/2006/relationships" name="Diagrams" sheetId="4" state="visible" r:id="rId4"/>
    <sheet xmlns:r="http://schemas.openxmlformats.org/officeDocument/2006/relationships" name="Nodes" sheetId="5" state="visible" r:id="rId5"/>
    <sheet xmlns:r="http://schemas.openxmlformats.org/officeDocument/2006/relationships" name="Edges" sheetId="6" state="visible" r:id="rId6"/>
  </sheets>
  <definedNames>
    <definedName name="_xlnm._FilterDatabase" localSheetId="1" hidden="1">'Scenario_Catalog'!$A$1:$I$14</definedName>
    <definedName name="_xlnm._FilterDatabase" localSheetId="2" hidden="1">'Sizing_Layout'!$A$1:$E$17</definedName>
    <definedName name="_xlnm._FilterDatabase" localSheetId="3" hidden="1">'Diagrams'!$A$1:$F$6</definedName>
    <definedName name="_xlnm._FilterDatabase" localSheetId="4" hidden="1">'Nodes'!$A$1:$M$35</definedName>
    <definedName name="_xlnm._FilterDatabase" localSheetId="5" hidden="1">'Edges'!$A$1:$H$28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1" min="1" max="1"/>
    <col width="110" customWidth="1" style="11" min="2" max="2"/>
  </cols>
  <sheetData>
    <row r="1" ht="17.35" customHeight="1" s="12">
      <c r="A1" s="13" t="inlineStr">
        <is>
          <t>Diagram Automation — CSV Data Specification</t>
        </is>
      </c>
    </row>
    <row r="3" ht="23.85" customHeight="1" s="12">
      <c r="A3" s="14" t="inlineStr">
        <is>
          <t>Purpose</t>
        </is>
      </c>
      <c r="B3" s="15" t="inlineStr">
        <is>
          <t>Define one universal, tool-agnostic data format (CSV/Excel) from which a custom renderer can generate diagrams automatically. One schema covers EA/ArchiMate models, flowcharts &amp; swimlanes, org charts, network/deployment diagrams, and ERDs.</t>
        </is>
      </c>
    </row>
    <row r="4" ht="15" customHeight="1" s="12">
      <c r="A4" s="14" t="n"/>
      <c r="B4" s="15" t="n"/>
    </row>
    <row r="5" ht="35.05" customHeight="1" s="12">
      <c r="A5" s="14" t="inlineStr">
        <is>
          <t>Pipeline</t>
        </is>
      </c>
      <c r="B5" s="15" t="inlineStr">
        <is>
          <t>1) Author data in Nodes + Edges sheets (or CSVs)  →  2) Renderer resolves entity_type via Shape_Library and relation_type via Line_Rules  →  3) Sizing engine computes W×H per node (Sizing_Layout rules)  →  4) Layout engine picks algorithm from Scenario_Catalog  →  5) Output SVG / draw.io XML / PNG.</t>
        </is>
      </c>
    </row>
    <row r="6" ht="15" customHeight="1" s="12">
      <c r="A6" s="14" t="n"/>
      <c r="B6" s="15" t="n"/>
    </row>
    <row r="7" ht="15" customHeight="1" s="12">
      <c r="A7" s="14" t="inlineStr">
        <is>
          <t>Sheet guide</t>
        </is>
      </c>
      <c r="B7" s="15" t="n"/>
    </row>
    <row r="8" ht="15" customHeight="1" s="12">
      <c r="A8" s="14" t="inlineStr">
        <is>
          <t>Scenario_Catalog</t>
        </is>
      </c>
      <c r="B8" s="15" t="inlineStr">
        <is>
          <t>Every diagram scenario identified, with the layout algorithm and key challenge for each.</t>
        </is>
      </c>
    </row>
    <row r="9" ht="15" customHeight="1" s="12">
      <c r="A9" s="14" t="inlineStr">
        <is>
          <t>Shape_Library</t>
        </is>
      </c>
      <c r="B9" s="15" t="inlineStr">
        <is>
          <t>Entity type → shape, default size, colors. This solves "which shape to use".</t>
        </is>
      </c>
    </row>
    <row r="10" ht="15" customHeight="1" s="12">
      <c r="A10" s="14" t="inlineStr">
        <is>
          <t>Line_Rules</t>
        </is>
      </c>
      <c r="B10" s="15" t="inlineStr">
        <is>
          <t>Relationship type → line style, arrowheads, routing. This solves "which line to use".</t>
        </is>
      </c>
    </row>
    <row r="11" ht="15" customHeight="1" s="12">
      <c r="A11" s="14" t="inlineStr">
        <is>
          <t>Sizing_Layout</t>
        </is>
      </c>
      <c r="B11" s="15" t="inlineStr">
        <is>
          <t>Auto-sizing formulas and spacing constants. This solves the sizing/shaping challenge.</t>
        </is>
      </c>
    </row>
    <row r="12" ht="15" customHeight="1" s="12">
      <c r="A12" s="14" t="inlineStr">
        <is>
          <t>Diagrams</t>
        </is>
      </c>
      <c r="B12" s="15" t="inlineStr">
        <is>
          <t>Registry of sample diagrams (one row = one output file).</t>
        </is>
      </c>
    </row>
    <row r="13" ht="15" customHeight="1" s="12">
      <c r="A13" s="14" t="inlineStr">
        <is>
          <t>Nodes</t>
        </is>
      </c>
      <c r="B13" s="15" t="inlineStr">
        <is>
          <t>Sample node data for 5 demo diagrams. computed_w/computed_h are LIVE Excel formulas implementing the sizing rules.</t>
        </is>
      </c>
    </row>
    <row r="14" ht="15" customHeight="1" s="12">
      <c r="A14" s="14" t="inlineStr">
        <is>
          <t>Edges</t>
        </is>
      </c>
      <c r="B14" s="15" t="inlineStr">
        <is>
          <t>Sample edge data for the same demo diagrams.</t>
        </is>
      </c>
    </row>
    <row r="15" ht="15" customHeight="1" s="12">
      <c r="A15" s="14" t="n"/>
      <c r="B15" s="15" t="n"/>
    </row>
    <row r="16" ht="35.05" customHeight="1" s="12">
      <c r="A16" s="14" t="inlineStr">
        <is>
          <t>Design principles</t>
        </is>
      </c>
      <c r="B16" s="15" t="inlineStr">
        <is>
          <t>Separation of data (Nodes/Edges) from presentation (rule sheets): business users only fill 6–8 columns; the renderer owns geometry. Nesting via parent_id gives containers (layers, swimlanes, zones) for free. Overrides (w_override, fill_override) allow exceptions without breaking automation.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11" customWidth="1" style="11" min="2" max="2"/>
    <col width="24" customWidth="1" style="11" min="3" max="3"/>
    <col width="44" customWidth="1" style="11" min="4" max="4"/>
    <col width="30" customWidth="1" style="11" min="5" max="5"/>
    <col width="26" customWidth="1" style="11" min="6" max="6"/>
    <col width="34" customWidth="1" style="11" min="7" max="7"/>
    <col width="14" customWidth="1" style="11" min="8" max="8"/>
    <col width="38" customWidth="1" style="11" min="9" max="9"/>
  </cols>
  <sheetData>
    <row r="1" ht="23.85" customHeight="1" s="12">
      <c r="A1" s="16" t="inlineStr">
        <is>
          <t>scenario_id</t>
        </is>
      </c>
      <c r="B1" s="16" t="inlineStr">
        <is>
          <t>family</t>
        </is>
      </c>
      <c r="C1" s="16" t="inlineStr">
        <is>
          <t>scenario_name</t>
        </is>
      </c>
      <c r="D1" s="16" t="inlineStr">
        <is>
          <t>description / when used</t>
        </is>
      </c>
      <c r="E1" s="16" t="inlineStr">
        <is>
          <t>typical_entities</t>
        </is>
      </c>
      <c r="F1" s="16" t="inlineStr">
        <is>
          <t>typical_relations</t>
        </is>
      </c>
      <c r="G1" s="16" t="inlineStr">
        <is>
          <t>layout_algorithm</t>
        </is>
      </c>
      <c r="H1" s="16" t="inlineStr">
        <is>
          <t>containers?</t>
        </is>
      </c>
      <c r="I1" s="16" t="inlineStr">
        <is>
          <t>key_challenge</t>
        </is>
      </c>
    </row>
    <row r="2" ht="35.05" customHeight="1" s="12">
      <c r="A2" s="17" t="inlineStr">
        <is>
          <t>EA-01</t>
        </is>
      </c>
      <c r="B2" s="17" t="inlineStr">
        <is>
          <t>EA</t>
        </is>
      </c>
      <c r="C2" s="17" t="inlineStr">
        <is>
          <t>ArchiMate layered view</t>
        </is>
      </c>
      <c r="D2" s="17" t="inlineStr">
        <is>
          <t>Business / Application / Technology stack view of an enterprise; the classic EA deliverable.</t>
        </is>
      </c>
      <c r="E2" s="17" t="inlineStr">
        <is>
          <t>business_process, application_component, node, services</t>
        </is>
      </c>
      <c r="F2" s="17" t="inlineStr">
        <is>
          <t>serving, realization, assignment</t>
        </is>
      </c>
      <c r="G2" s="17" t="inlineStr">
        <is>
          <t>Horizontal layer bands; grid placement inside each band</t>
        </is>
      </c>
      <c r="H2" s="17" t="inlineStr">
        <is>
          <t>Yes (layer bands)</t>
        </is>
      </c>
      <c r="I2" s="17" t="inlineStr">
        <is>
          <t>Keeping cross-layer edges vertical and readable</t>
        </is>
      </c>
    </row>
    <row r="3" ht="23.85" customHeight="1" s="12">
      <c r="A3" s="17" t="inlineStr">
        <is>
          <t>EA-02</t>
        </is>
      </c>
      <c r="B3" s="17" t="inlineStr">
        <is>
          <t>EA</t>
        </is>
      </c>
      <c r="C3" s="17" t="inlineStr">
        <is>
          <t>Capability map</t>
        </is>
      </c>
      <c r="D3" s="17" t="inlineStr">
        <is>
          <t>Nested business capabilities L1→L3 shown as tiles inside tiles.</t>
        </is>
      </c>
      <c r="E3" s="17" t="inlineStr">
        <is>
          <t>capability</t>
        </is>
      </c>
      <c r="F3" s="17" t="inlineStr">
        <is>
          <t>composition (implicit via nesting)</t>
        </is>
      </c>
      <c r="G3" s="17" t="inlineStr">
        <is>
          <t>Nested grid (treemap-like), fixed columns per level</t>
        </is>
      </c>
      <c r="H3" s="17" t="inlineStr">
        <is>
          <t>Yes (nested)</t>
        </is>
      </c>
      <c r="I3" s="17" t="inlineStr">
        <is>
          <t>Auto-sizing parents to fit children exactly</t>
        </is>
      </c>
    </row>
    <row r="4" ht="23.85" customHeight="1" s="12">
      <c r="A4" s="17" t="inlineStr">
        <is>
          <t>EA-03</t>
        </is>
      </c>
      <c r="B4" s="17" t="inlineStr">
        <is>
          <t>EA</t>
        </is>
      </c>
      <c r="C4" s="17" t="inlineStr">
        <is>
          <t>Application landscape</t>
        </is>
      </c>
      <c r="D4" s="17" t="inlineStr">
        <is>
          <t>All applications grouped by domain, colored by lifecycle status.</t>
        </is>
      </c>
      <c r="E4" s="17" t="inlineStr">
        <is>
          <t>application_component, group</t>
        </is>
      </c>
      <c r="F4" s="17" t="inlineStr">
        <is>
          <t>flow (data exchanges) optional</t>
        </is>
      </c>
      <c r="G4" s="17" t="inlineStr">
        <is>
          <t>Grouped grid; groups ordered by domain</t>
        </is>
      </c>
      <c r="H4" s="17" t="inlineStr">
        <is>
          <t>Yes (domain groups)</t>
        </is>
      </c>
      <c r="I4" s="17" t="inlineStr">
        <is>
          <t>Conditional color coding from data attributes</t>
        </is>
      </c>
    </row>
    <row r="5" ht="23.85" customHeight="1" s="12">
      <c r="A5" s="17" t="inlineStr">
        <is>
          <t>EA-04</t>
        </is>
      </c>
      <c r="B5" s="17" t="inlineStr">
        <is>
          <t>EA</t>
        </is>
      </c>
      <c r="C5" s="17" t="inlineStr">
        <is>
          <t>Metamodel / concept map</t>
        </is>
      </c>
      <c r="D5" s="17" t="inlineStr">
        <is>
          <t>Concepts and their allowed relationships (like the EAF metamodel on screen).</t>
        </is>
      </c>
      <c r="E5" s="17" t="inlineStr">
        <is>
          <t>all ArchiMate types</t>
        </is>
      </c>
      <c r="F5" s="17" t="inlineStr">
        <is>
          <t>all relation types + labels</t>
        </is>
      </c>
      <c r="G5" s="17" t="inlineStr">
        <is>
          <t>Orthogonal / force-directed with layer background zones</t>
        </is>
      </c>
      <c r="H5" s="17" t="inlineStr">
        <is>
          <t>Optional</t>
        </is>
      </c>
      <c r="I5" s="17" t="inlineStr">
        <is>
          <t>Many edge crossings; needs orthogonal routing + label placement</t>
        </is>
      </c>
    </row>
    <row r="6" ht="23.85" customHeight="1" s="12">
      <c r="A6" s="18" t="inlineStr">
        <is>
          <t>FL-01</t>
        </is>
      </c>
      <c r="B6" s="18" t="inlineStr">
        <is>
          <t>Flowchart</t>
        </is>
      </c>
      <c r="C6" s="18" t="inlineStr">
        <is>
          <t>Basic flowchart</t>
        </is>
      </c>
      <c r="D6" s="18" t="inlineStr">
        <is>
          <t>Step-by-step process with decisions and terminators.</t>
        </is>
      </c>
      <c r="E6" s="18" t="inlineStr">
        <is>
          <t>start_end, process, decision, data_io, document</t>
        </is>
      </c>
      <c r="F6" s="18" t="inlineStr">
        <is>
          <t>sequence_flow (with yes/no labels)</t>
        </is>
      </c>
      <c r="G6" s="18" t="inlineStr">
        <is>
          <t>Sugiyama layered, top-to-bottom; decision branches left/right</t>
        </is>
      </c>
      <c r="H6" s="18" t="inlineStr">
        <is>
          <t>No</t>
        </is>
      </c>
      <c r="I6" s="18" t="inlineStr">
        <is>
          <t>Branch/merge symmetry; diamond aspect ratio vs label length</t>
        </is>
      </c>
    </row>
    <row r="7" ht="23.85" customHeight="1" s="12">
      <c r="A7" s="18" t="inlineStr">
        <is>
          <t>FL-02</t>
        </is>
      </c>
      <c r="B7" s="18" t="inlineStr">
        <is>
          <t>Flowchart</t>
        </is>
      </c>
      <c r="C7" s="18" t="inlineStr">
        <is>
          <t>Swimlane / cross-functional</t>
        </is>
      </c>
      <c r="D7" s="18" t="inlineStr">
        <is>
          <t>Process steps assigned to roles or departments in lanes.</t>
        </is>
      </c>
      <c r="E7" s="18" t="inlineStr">
        <is>
          <t>lane + flowchart shapes</t>
        </is>
      </c>
      <c r="F7" s="18" t="inlineStr">
        <is>
          <t>sequence_flow, message_flow</t>
        </is>
      </c>
      <c r="G7" s="18" t="inlineStr">
        <is>
          <t>Ranked flow constrained to lane columns/rows</t>
        </is>
      </c>
      <c r="H7" s="18" t="inlineStr">
        <is>
          <t>Yes (lanes)</t>
        </is>
      </c>
      <c r="I7" s="18" t="inlineStr">
        <is>
          <t>Lane height driven by busiest lane; edges crossing lanes</t>
        </is>
      </c>
    </row>
    <row r="8" ht="23.85" customHeight="1" s="12">
      <c r="A8" s="18" t="inlineStr">
        <is>
          <t>FL-03</t>
        </is>
      </c>
      <c r="B8" s="18" t="inlineStr">
        <is>
          <t>Flowchart</t>
        </is>
      </c>
      <c r="C8" s="18" t="inlineStr">
        <is>
          <t>Decision tree</t>
        </is>
      </c>
      <c r="D8" s="18" t="inlineStr">
        <is>
          <t>Branching logic, each path ends in an outcome.</t>
        </is>
      </c>
      <c r="E8" s="18" t="inlineStr">
        <is>
          <t>decision, process, start_end</t>
        </is>
      </c>
      <c r="F8" s="18" t="inlineStr">
        <is>
          <t>sequence_flow (labelled)</t>
        </is>
      </c>
      <c r="G8" s="18" t="inlineStr">
        <is>
          <t>Tree layout, top-down, balanced subtrees</t>
        </is>
      </c>
      <c r="H8" s="18" t="inlineStr">
        <is>
          <t>No</t>
        </is>
      </c>
      <c r="I8" s="18" t="inlineStr">
        <is>
          <t>Width explosion at deep levels; needs subtree compaction</t>
        </is>
      </c>
    </row>
    <row r="9" ht="23.85" customHeight="1" s="12">
      <c r="A9" s="19" t="inlineStr">
        <is>
          <t>OR-01</t>
        </is>
      </c>
      <c r="B9" s="19" t="inlineStr">
        <is>
          <t>OrgChart</t>
        </is>
      </c>
      <c r="C9" s="19" t="inlineStr">
        <is>
          <t>Org chart / hierarchy</t>
        </is>
      </c>
      <c r="D9" s="19" t="inlineStr">
        <is>
          <t>Reporting structure from CSV HR export.</t>
        </is>
      </c>
      <c r="E9" s="19" t="inlineStr">
        <is>
          <t>person_card, department</t>
        </is>
      </c>
      <c r="F9" s="19" t="inlineStr">
        <is>
          <t>reports_to</t>
        </is>
      </c>
      <c r="G9" s="19" t="inlineStr">
        <is>
          <t>Tree layout, top-down; siblings ordered by data</t>
        </is>
      </c>
      <c r="H9" s="19" t="inlineStr">
        <is>
          <t>Optional (departments)</t>
        </is>
      </c>
      <c r="I9" s="19" t="inlineStr">
        <is>
          <t>Very wide trees → stagger/compress leaf rows</t>
        </is>
      </c>
    </row>
    <row r="10" ht="23.85" customHeight="1" s="12">
      <c r="A10" s="19" t="inlineStr">
        <is>
          <t>OR-02</t>
        </is>
      </c>
      <c r="B10" s="19" t="inlineStr">
        <is>
          <t>OrgChart</t>
        </is>
      </c>
      <c r="C10" s="19" t="inlineStr">
        <is>
          <t>Matrix org / dotted-line</t>
        </is>
      </c>
      <c r="D10" s="19" t="inlineStr">
        <is>
          <t>Hierarchy plus secondary (functional) reporting lines.</t>
        </is>
      </c>
      <c r="E10" s="19" t="inlineStr">
        <is>
          <t>person_card</t>
        </is>
      </c>
      <c r="F10" s="19" t="inlineStr">
        <is>
          <t>reports_to, dotted_reporting</t>
        </is>
      </c>
      <c r="G10" s="19" t="inlineStr">
        <is>
          <t>Tree for primary edges; secondary edges routed around</t>
        </is>
      </c>
      <c r="H10" s="19" t="inlineStr">
        <is>
          <t>Optional</t>
        </is>
      </c>
      <c r="I10" s="19" t="inlineStr">
        <is>
          <t>Secondary edges must not be confused with primary</t>
        </is>
      </c>
    </row>
    <row r="11" ht="23.85" customHeight="1" s="12">
      <c r="A11" s="20" t="inlineStr">
        <is>
          <t>NW-01</t>
        </is>
      </c>
      <c r="B11" s="20" t="inlineStr">
        <is>
          <t>Network</t>
        </is>
      </c>
      <c r="C11" s="20" t="inlineStr">
        <is>
          <t>Network topology</t>
        </is>
      </c>
      <c r="D11" s="20" t="inlineStr">
        <is>
          <t>Zones (Internet/DMZ/Internal) with devices and links.</t>
        </is>
      </c>
      <c r="E11" s="20" t="inlineStr">
        <is>
          <t>cloud, firewall, router, switch, load_balancer, server, zone</t>
        </is>
      </c>
      <c r="F11" s="20" t="inlineStr">
        <is>
          <t>physical_link, logical_link, vpn_tunnel</t>
        </is>
      </c>
      <c r="G11" s="20" t="inlineStr">
        <is>
          <t>Tiered top-down by zone; devices grid inside zone</t>
        </is>
      </c>
      <c r="H11" s="20" t="inlineStr">
        <is>
          <t>Yes (zones)</t>
        </is>
      </c>
      <c r="I11" s="20" t="inlineStr">
        <is>
          <t>Redundant links (N×M) need parallel edge offsets</t>
        </is>
      </c>
    </row>
    <row r="12" ht="23.85" customHeight="1" s="12">
      <c r="A12" s="20" t="inlineStr">
        <is>
          <t>NW-02</t>
        </is>
      </c>
      <c r="B12" s="20" t="inlineStr">
        <is>
          <t>Network</t>
        </is>
      </c>
      <c r="C12" s="20" t="inlineStr">
        <is>
          <t>Deployment diagram</t>
        </is>
      </c>
      <c r="D12" s="20" t="inlineStr">
        <is>
          <t>What runs where: artifacts inside runtimes inside servers.</t>
        </is>
      </c>
      <c r="E12" s="20" t="inlineStr">
        <is>
          <t>node, device, artifact, execution_env</t>
        </is>
      </c>
      <c r="F12" s="20" t="inlineStr">
        <is>
          <t>deployed_on (nesting), communicates</t>
        </is>
      </c>
      <c r="G12" s="20" t="inlineStr">
        <is>
          <t>Nested containers + orthogonal links</t>
        </is>
      </c>
      <c r="H12" s="20" t="inlineStr">
        <is>
          <t>Yes (3+ levels deep)</t>
        </is>
      </c>
      <c r="I12" s="20" t="inlineStr">
        <is>
          <t>Deep nesting: size must propagate bottom-up</t>
        </is>
      </c>
    </row>
    <row r="13" ht="23.85" customHeight="1" s="12">
      <c r="A13" s="21" t="inlineStr">
        <is>
          <t>ER-01</t>
        </is>
      </c>
      <c r="B13" s="21" t="inlineStr">
        <is>
          <t>ERD</t>
        </is>
      </c>
      <c r="C13" s="21" t="inlineStr">
        <is>
          <t>Entity-relationship (crow's foot)</t>
        </is>
      </c>
      <c r="D13" s="21" t="inlineStr">
        <is>
          <t>Tables with attribute rows; cardinality on edges.</t>
        </is>
      </c>
      <c r="E13" s="21" t="inlineStr">
        <is>
          <t>entity (multi-row shape)</t>
        </is>
      </c>
      <c r="F13" s="21" t="inlineStr">
        <is>
          <t>one_to_many, one_to_one, many_to_many</t>
        </is>
      </c>
      <c r="G13" s="21" t="inlineStr">
        <is>
          <t>Orthogonal grid; connected entities adjacent</t>
        </is>
      </c>
      <c r="H13" s="21" t="inlineStr">
        <is>
          <t>No (entity IS a list shape)</t>
        </is>
      </c>
      <c r="I13" s="21" t="inlineStr">
        <is>
          <t>Row-list shapes: height = f(attribute count); edge anchors at rows</t>
        </is>
      </c>
    </row>
    <row r="14" ht="23.85" customHeight="1" s="12">
      <c r="A14" s="21" t="inlineStr">
        <is>
          <t>ER-02</t>
        </is>
      </c>
      <c r="B14" s="21" t="inlineStr">
        <is>
          <t>ERD</t>
        </is>
      </c>
      <c r="C14" s="21" t="inlineStr">
        <is>
          <t>Data lineage / flow</t>
        </is>
      </c>
      <c r="D14" s="21" t="inlineStr">
        <is>
          <t>How data moves between systems, left to right.</t>
        </is>
      </c>
      <c r="E14" s="21" t="inlineStr">
        <is>
          <t>application_component, data_object, database</t>
        </is>
      </c>
      <c r="F14" s="21" t="inlineStr">
        <is>
          <t>data_flow (labelled)</t>
        </is>
      </c>
      <c r="G14" s="21" t="inlineStr">
        <is>
          <t>Layered left-to-right (rank = pipeline stage)</t>
        </is>
      </c>
      <c r="H14" s="21" t="inlineStr">
        <is>
          <t>Optional (stages)</t>
        </is>
      </c>
      <c r="I14" s="21" t="inlineStr">
        <is>
          <t>Long horizontal edges need waypoint hints</t>
        </is>
      </c>
    </row>
  </sheetData>
  <autoFilter ref="A1:I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11" min="1" max="1"/>
    <col width="15" customWidth="1" style="11" min="2" max="2"/>
    <col width="46" customWidth="1" style="11" min="3" max="3"/>
    <col width="58" customWidth="1" style="11" min="4" max="4"/>
    <col width="24" customWidth="1" style="11" min="5" max="5"/>
  </cols>
  <sheetData>
    <row r="1" ht="15" customHeight="1" s="12">
      <c r="A1" s="16" t="inlineStr">
        <is>
          <t>rule_id</t>
        </is>
      </c>
      <c r="B1" s="16" t="inlineStr">
        <is>
          <t>category</t>
        </is>
      </c>
      <c r="C1" s="16" t="inlineStr">
        <is>
          <t>rule</t>
        </is>
      </c>
      <c r="D1" s="16" t="inlineStr">
        <is>
          <t>value / formula</t>
        </is>
      </c>
      <c r="E1" s="16" t="inlineStr">
        <is>
          <t>applies_to</t>
        </is>
      </c>
    </row>
    <row r="2" ht="23.85" customHeight="1" s="12">
      <c r="A2" s="22" t="inlineStr">
        <is>
          <t>SZ-01</t>
        </is>
      </c>
      <c r="B2" s="22" t="inlineStr">
        <is>
          <t>Text metrics</t>
        </is>
      </c>
      <c r="C2" s="22" t="inlineStr">
        <is>
          <t>Average character width (Arial 12px) used for width estimation</t>
        </is>
      </c>
      <c r="D2" s="22" t="inlineStr">
        <is>
          <t>CHAR_W = 7 px  |  LINE_H = 16 px</t>
        </is>
      </c>
      <c r="E2" s="22" t="inlineStr">
        <is>
          <t>all auto_size shapes</t>
        </is>
      </c>
    </row>
    <row r="3" ht="15" customHeight="1" s="12">
      <c r="A3" s="22" t="inlineStr">
        <is>
          <t>SZ-02</t>
        </is>
      </c>
      <c r="B3" s="22" t="inlineStr">
        <is>
          <t>Node width</t>
        </is>
      </c>
      <c r="C3" s="22" t="inlineStr">
        <is>
          <t>Width grows with label, bounded</t>
        </is>
      </c>
      <c r="D3" s="22" t="inlineStr">
        <is>
          <t>w = CLAMP(min_w, LEN(label)×CHAR_W + 2×PAD_X, max_w=260)</t>
        </is>
      </c>
      <c r="E3" s="22" t="inlineStr">
        <is>
          <t>auto_size = Y</t>
        </is>
      </c>
    </row>
    <row r="4" ht="23.85" customHeight="1" s="12">
      <c r="A4" s="22" t="inlineStr">
        <is>
          <t>SZ-03</t>
        </is>
      </c>
      <c r="B4" s="22" t="inlineStr">
        <is>
          <t>Node height</t>
        </is>
      </c>
      <c r="C4" s="22" t="inlineStr">
        <is>
          <t>Height grows when label wraps</t>
        </is>
      </c>
      <c r="D4" s="22" t="inlineStr">
        <is>
          <t>lines = CEIL(LEN(label)×CHAR_W ÷ (w − 2×PAD_X));  h = MAX(min_h, lines×LINE_H + 2×PAD_Y)</t>
        </is>
      </c>
      <c r="E4" s="22" t="inlineStr">
        <is>
          <t>auto_size = Y</t>
        </is>
      </c>
    </row>
    <row r="5" ht="15" customHeight="1" s="12">
      <c r="A5" s="22" t="inlineStr">
        <is>
          <t>SZ-04</t>
        </is>
      </c>
      <c r="B5" s="22" t="inlineStr">
        <is>
          <t>Padding</t>
        </is>
      </c>
      <c r="C5" s="22" t="inlineStr">
        <is>
          <t>Inner text padding</t>
        </is>
      </c>
      <c r="D5" s="22" t="inlineStr">
        <is>
          <t>PAD_X = 12 px, PAD_Y = 10 px (icons: +18 px right)</t>
        </is>
      </c>
      <c r="E5" s="22" t="inlineStr">
        <is>
          <t>all shapes</t>
        </is>
      </c>
    </row>
    <row r="6" ht="15" customHeight="1" s="12">
      <c r="A6" s="22" t="inlineStr">
        <is>
          <t>SZ-05</t>
        </is>
      </c>
      <c r="B6" s="22" t="inlineStr">
        <is>
          <t>Grid snap</t>
        </is>
      </c>
      <c r="C6" s="22" t="inlineStr">
        <is>
          <t>All x, y, w, h snap to grid</t>
        </is>
      </c>
      <c r="D6" s="22" t="inlineStr">
        <is>
          <t>GRID = 10 px</t>
        </is>
      </c>
      <c r="E6" s="22" t="inlineStr">
        <is>
          <t>layout engine</t>
        </is>
      </c>
    </row>
    <row r="7" ht="15" customHeight="1" s="12">
      <c r="A7" s="22" t="inlineStr">
        <is>
          <t>SZ-06</t>
        </is>
      </c>
      <c r="B7" s="22" t="inlineStr">
        <is>
          <t>Diamond ratio</t>
        </is>
      </c>
      <c r="C7" s="22" t="inlineStr">
        <is>
          <t>Decision diamonds keep aspect ratio; label wraps to fit</t>
        </is>
      </c>
      <c r="D7" s="22" t="inlineStr">
        <is>
          <t>w : h = 1.75 : 1; if label &gt; 20 chars → wrap, grow both axes</t>
        </is>
      </c>
      <c r="E7" s="22" t="inlineStr">
        <is>
          <t>decision</t>
        </is>
      </c>
    </row>
    <row r="8" ht="23.85" customHeight="1" s="12">
      <c r="A8" s="22" t="inlineStr">
        <is>
          <t>SZ-07</t>
        </is>
      </c>
      <c r="B8" s="22" t="inlineStr">
        <is>
          <t>Row-list shapes</t>
        </is>
      </c>
      <c r="C8" s="22" t="inlineStr">
        <is>
          <t>ERD entities sized by attribute count</t>
        </is>
      </c>
      <c r="D8" s="22" t="inlineStr">
        <is>
          <t>h = TITLE_H(30) + rows×ROW_H(22); w = MAX(widest row text + 40, 160)</t>
        </is>
      </c>
      <c r="E8" s="22" t="inlineStr">
        <is>
          <t>entity, view</t>
        </is>
      </c>
    </row>
    <row r="9" ht="23.85" customHeight="1" s="12">
      <c r="A9" s="22" t="inlineStr">
        <is>
          <t>SZ-08</t>
        </is>
      </c>
      <c r="B9" s="22" t="inlineStr">
        <is>
          <t>Container fit</t>
        </is>
      </c>
      <c r="C9" s="22" t="inlineStr">
        <is>
          <t>Parents auto-grow bottom-up to wrap children</t>
        </is>
      </c>
      <c r="D9" s="22" t="inlineStr">
        <is>
          <t>w/h = child bbox + PAD_C(20) each side + HEADER_H(28) top; computed leaf-first</t>
        </is>
      </c>
      <c r="E9" s="22" t="inlineStr">
        <is>
          <t>all containers</t>
        </is>
      </c>
    </row>
    <row r="10" ht="23.85" customHeight="1" s="12">
      <c r="A10" s="22" t="inlineStr">
        <is>
          <t>SZ-09</t>
        </is>
      </c>
      <c r="B10" s="22" t="inlineStr">
        <is>
          <t>Lane sizing</t>
        </is>
      </c>
      <c r="C10" s="22" t="inlineStr">
        <is>
          <t>All lanes share length; thickness set by busiest lane</t>
        </is>
      </c>
      <c r="D10" s="22" t="inlineStr">
        <is>
          <t>lane_len = max over lanes; lane_thickness = max node span + 2×PAD_C</t>
        </is>
      </c>
      <c r="E10" s="22" t="inlineStr">
        <is>
          <t>lane</t>
        </is>
      </c>
    </row>
    <row r="11" ht="15" customHeight="1" s="12">
      <c r="A11" s="22" t="inlineStr">
        <is>
          <t>SZ-10</t>
        </is>
      </c>
      <c r="B11" s="22" t="inlineStr">
        <is>
          <t>Sibling spacing</t>
        </is>
      </c>
      <c r="C11" s="22" t="inlineStr">
        <is>
          <t>Horizontal gap between nodes at same rank</t>
        </is>
      </c>
      <c r="D11" s="22" t="inlineStr">
        <is>
          <t>GAP_X = 40 px (org charts: 24 px)</t>
        </is>
      </c>
      <c r="E11" s="22" t="inlineStr">
        <is>
          <t>tree/layered layouts</t>
        </is>
      </c>
    </row>
    <row r="12" ht="15" customHeight="1" s="12">
      <c r="A12" s="22" t="inlineStr">
        <is>
          <t>SZ-11</t>
        </is>
      </c>
      <c r="B12" s="22" t="inlineStr">
        <is>
          <t>Rank spacing</t>
        </is>
      </c>
      <c r="C12" s="22" t="inlineStr">
        <is>
          <t>Vertical gap between ranks/levels</t>
        </is>
      </c>
      <c r="D12" s="22" t="inlineStr">
        <is>
          <t>GAP_Y = 60 px (flowcharts: 50 px)</t>
        </is>
      </c>
      <c r="E12" s="22" t="inlineStr">
        <is>
          <t>tree/layered layouts</t>
        </is>
      </c>
    </row>
    <row r="13" ht="15" customHeight="1" s="12">
      <c r="A13" s="22" t="inlineStr">
        <is>
          <t>SZ-12</t>
        </is>
      </c>
      <c r="B13" s="22" t="inlineStr">
        <is>
          <t>Edge clearance</t>
        </is>
      </c>
      <c r="C13" s="22" t="inlineStr">
        <is>
          <t>Orthogonal edges keep distance from node borders</t>
        </is>
      </c>
      <c r="D13" s="22" t="inlineStr">
        <is>
          <t>CLEAR = 15 px; parallel edges offset 8 px apart</t>
        </is>
      </c>
      <c r="E13" s="22" t="inlineStr">
        <is>
          <t>routing</t>
        </is>
      </c>
    </row>
    <row r="14" ht="15" customHeight="1" s="12">
      <c r="A14" s="22" t="inlineStr">
        <is>
          <t>SZ-13</t>
        </is>
      </c>
      <c r="B14" s="22" t="inlineStr">
        <is>
          <t>Label truncation</t>
        </is>
      </c>
      <c r="C14" s="22" t="inlineStr">
        <is>
          <t>Hard cap to protect layout</t>
        </is>
      </c>
      <c r="D14" s="22" t="inlineStr">
        <is>
          <t>&gt; 60 chars → truncate with … + full text in tooltip/metadata</t>
        </is>
      </c>
      <c r="E14" s="22" t="inlineStr">
        <is>
          <t>all labels</t>
        </is>
      </c>
    </row>
    <row r="15" ht="23.85" customHeight="1" s="12">
      <c r="A15" s="22" t="inlineStr">
        <is>
          <t>SZ-14</t>
        </is>
      </c>
      <c r="B15" s="22" t="inlineStr">
        <is>
          <t>Canvas</t>
        </is>
      </c>
      <c r="C15" s="22" t="inlineStr">
        <is>
          <t>Canvas computed from content, never fixed</t>
        </is>
      </c>
      <c r="D15" s="22" t="inlineStr">
        <is>
          <t>bbox of all top-level nodes + 40 px margin; A4/16:9 hint only scales output</t>
        </is>
      </c>
      <c r="E15" s="22" t="inlineStr">
        <is>
          <t>renderer</t>
        </is>
      </c>
    </row>
    <row r="16" ht="23.85" customHeight="1" s="12">
      <c r="A16" s="22" t="inlineStr">
        <is>
          <t>SZ-15</t>
        </is>
      </c>
      <c r="B16" s="22" t="inlineStr">
        <is>
          <t>Anchor points</t>
        </is>
      </c>
      <c r="C16" s="22" t="inlineStr">
        <is>
          <t>Edge attach points per shape</t>
        </is>
      </c>
      <c r="D16" s="22" t="inlineStr">
        <is>
          <t>N/S/E/W midpoints default; ERD rows anchor at row Y-center; trees: child-top → parent-bottom</t>
        </is>
      </c>
      <c r="E16" s="22" t="inlineStr">
        <is>
          <t>routing</t>
        </is>
      </c>
    </row>
    <row r="17" ht="15" customHeight="1" s="12">
      <c r="A17" s="22" t="inlineStr">
        <is>
          <t>SZ-16</t>
        </is>
      </c>
      <c r="B17" s="22" t="inlineStr">
        <is>
          <t>Font scale</t>
        </is>
      </c>
      <c r="C17" s="22" t="inlineStr">
        <is>
          <t>Font sizes by role</t>
        </is>
      </c>
      <c r="D17" s="22" t="inlineStr">
        <is>
          <t>node label 12 px; container title 13 px bold; edge label 10 px</t>
        </is>
      </c>
      <c r="E17" s="22" t="inlineStr">
        <is>
          <t>renderer</t>
        </is>
      </c>
    </row>
  </sheetData>
  <autoFilter ref="A1:E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11" min="1" max="1"/>
    <col width="12" customWidth="1" style="11" min="2" max="2"/>
    <col width="34" customWidth="1" style="11" min="3" max="3"/>
    <col width="16" customWidth="1" style="11" min="4" max="4"/>
    <col width="12" customWidth="1" style="11" min="5" max="5"/>
    <col width="34" customWidth="1" style="11" min="6" max="6"/>
  </cols>
  <sheetData>
    <row r="1" ht="23.85" customHeight="1" s="12">
      <c r="A1" s="16" t="inlineStr">
        <is>
          <t>diagram_id</t>
        </is>
      </c>
      <c r="B1" s="16" t="inlineStr">
        <is>
          <t>scenario_id</t>
        </is>
      </c>
      <c r="C1" s="16" t="inlineStr">
        <is>
          <t>title</t>
        </is>
      </c>
      <c r="D1" s="16" t="inlineStr">
        <is>
          <t>direction</t>
        </is>
      </c>
      <c r="E1" s="16" t="inlineStr">
        <is>
          <t>theme</t>
        </is>
      </c>
      <c r="F1" s="16" t="inlineStr">
        <is>
          <t>notes</t>
        </is>
      </c>
    </row>
    <row r="2" ht="15" customHeight="1" s="12">
      <c r="A2" s="22" t="inlineStr">
        <is>
          <t>D1</t>
        </is>
      </c>
      <c r="B2" s="22" t="inlineStr">
        <is>
          <t>EA-01</t>
        </is>
      </c>
      <c r="C2" s="22" t="inlineStr">
        <is>
          <t>Retail Platform — Layered View</t>
        </is>
      </c>
      <c r="D2" s="22" t="inlineStr">
        <is>
          <t>layers top-down</t>
        </is>
      </c>
      <c r="E2" s="22" t="inlineStr">
        <is>
          <t>archimate</t>
        </is>
      </c>
      <c r="F2" s="22" t="inlineStr">
        <is>
          <t>Business → Application → Technology</t>
        </is>
      </c>
    </row>
    <row r="3" ht="15" customHeight="1" s="12">
      <c r="A3" s="22" t="inlineStr">
        <is>
          <t>D2</t>
        </is>
      </c>
      <c r="B3" s="22" t="inlineStr">
        <is>
          <t>FL-01</t>
        </is>
      </c>
      <c r="C3" s="22" t="inlineStr">
        <is>
          <t>Order Approval Process</t>
        </is>
      </c>
      <c r="D3" s="22" t="inlineStr">
        <is>
          <t>top-down</t>
        </is>
      </c>
      <c r="E3" s="22" t="inlineStr">
        <is>
          <t>classic</t>
        </is>
      </c>
      <c r="F3" s="22" t="inlineStr">
        <is>
          <t>One decision, reject loop</t>
        </is>
      </c>
    </row>
    <row r="4" ht="15" customHeight="1" s="12">
      <c r="A4" s="22" t="inlineStr">
        <is>
          <t>D3</t>
        </is>
      </c>
      <c r="B4" s="22" t="inlineStr">
        <is>
          <t>OR-01</t>
        </is>
      </c>
      <c r="C4" s="22" t="inlineStr">
        <is>
          <t>Engineering Org</t>
        </is>
      </c>
      <c r="D4" s="22" t="inlineStr">
        <is>
          <t>top-down</t>
        </is>
      </c>
      <c r="E4" s="22" t="inlineStr">
        <is>
          <t>corporate</t>
        </is>
      </c>
      <c r="F4" s="22" t="inlineStr">
        <is>
          <t>From HR CSV export</t>
        </is>
      </c>
    </row>
    <row r="5" ht="15" customHeight="1" s="12">
      <c r="A5" s="22" t="inlineStr">
        <is>
          <t>D4</t>
        </is>
      </c>
      <c r="B5" s="22" t="inlineStr">
        <is>
          <t>NW-01</t>
        </is>
      </c>
      <c r="C5" s="22" t="inlineStr">
        <is>
          <t>Web Platform Topology</t>
        </is>
      </c>
      <c r="D5" s="22" t="inlineStr">
        <is>
          <t>tiers top-down</t>
        </is>
      </c>
      <c r="E5" s="22" t="inlineStr">
        <is>
          <t>network</t>
        </is>
      </c>
      <c r="F5" s="22" t="inlineStr">
        <is>
          <t>Internet → DMZ → Internal</t>
        </is>
      </c>
    </row>
    <row r="6" ht="15" customHeight="1" s="12">
      <c r="A6" s="22" t="inlineStr">
        <is>
          <t>D5</t>
        </is>
      </c>
      <c r="B6" s="22" t="inlineStr">
        <is>
          <t>ER-01</t>
        </is>
      </c>
      <c r="C6" s="22" t="inlineStr">
        <is>
          <t>Order Management Schema</t>
        </is>
      </c>
      <c r="D6" s="22" t="inlineStr">
        <is>
          <t>orthogonal grid</t>
        </is>
      </c>
      <c r="E6" s="22" t="inlineStr">
        <is>
          <t>erd</t>
        </is>
      </c>
      <c r="F6" s="22" t="inlineStr">
        <is>
          <t>Crow's foot</t>
        </is>
      </c>
    </row>
  </sheetData>
  <autoFilter ref="A1:F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9" customWidth="1" style="11" min="2" max="3"/>
    <col width="20" customWidth="1" style="11" min="4" max="4"/>
    <col width="34" customWidth="1" style="11" min="5" max="5"/>
    <col width="9" customWidth="1" style="11" min="6" max="7"/>
    <col width="10" customWidth="1" style="11" min="8" max="9"/>
    <col width="11" customWidth="1" style="11" min="10" max="11"/>
    <col width="12" customWidth="1" style="11" min="12" max="12"/>
    <col width="40" customWidth="1" style="11" min="13" max="13"/>
  </cols>
  <sheetData>
    <row r="1" ht="23.85" customHeight="1" s="12">
      <c r="A1" s="16" t="inlineStr">
        <is>
          <t>diagram_id</t>
        </is>
      </c>
      <c r="B1" s="16" t="inlineStr">
        <is>
          <t>node_id</t>
        </is>
      </c>
      <c r="C1" s="16" t="inlineStr">
        <is>
          <t>parent_id</t>
        </is>
      </c>
      <c r="D1" s="16" t="inlineStr">
        <is>
          <t>entity_type</t>
        </is>
      </c>
      <c r="E1" s="16" t="inlineStr">
        <is>
          <t>label</t>
        </is>
      </c>
      <c r="F1" s="16" t="inlineStr">
        <is>
          <t>rank_hint</t>
        </is>
      </c>
      <c r="G1" s="16" t="inlineStr">
        <is>
          <t>order_hint</t>
        </is>
      </c>
      <c r="H1" s="16" t="inlineStr">
        <is>
          <t>w_override</t>
        </is>
      </c>
      <c r="I1" s="16" t="inlineStr">
        <is>
          <t>h_override</t>
        </is>
      </c>
      <c r="J1" s="16" t="inlineStr">
        <is>
          <t>computed_w</t>
        </is>
      </c>
      <c r="K1" s="16" t="inlineStr">
        <is>
          <t>computed_h</t>
        </is>
      </c>
      <c r="L1" s="16" t="inlineStr">
        <is>
          <t>fill_override</t>
        </is>
      </c>
      <c r="M1" s="16" t="inlineStr">
        <is>
          <t>metadata</t>
        </is>
      </c>
    </row>
    <row r="2" ht="15" customHeight="1" s="12">
      <c r="A2" s="22" t="inlineStr">
        <is>
          <t>D1</t>
        </is>
      </c>
      <c r="B2" s="22" t="inlineStr">
        <is>
          <t>L1</t>
        </is>
      </c>
      <c r="C2" s="22" t="n"/>
      <c r="D2" s="22" t="inlineStr">
        <is>
          <t>group</t>
        </is>
      </c>
      <c r="E2" s="22" t="inlineStr">
        <is>
          <t>Business Layer</t>
        </is>
      </c>
      <c r="F2" s="22" t="n">
        <v>1</v>
      </c>
      <c r="G2" s="22" t="n">
        <v>1</v>
      </c>
      <c r="H2" s="22" t="n"/>
      <c r="I2" s="22" t="n"/>
      <c r="J2" s="22">
        <f>IF(H2&lt;&gt;"",H2,MIN(260,MAX(VLOOKUP(D2,Shape_Library!$A:$H,7,0),LEN(E2)*7+24)))</f>
        <v/>
      </c>
      <c r="K2" s="22">
        <f>IF(I2&lt;&gt;"",I2,MAX(VLOOKUP(D2,Shape_Library!$A:$H,8,0),CEILING(LEN(E2)*7/(J2-24),1)*16+20))</f>
        <v/>
      </c>
      <c r="L2" s="22" t="inlineStr">
        <is>
          <t>#FFFDE7</t>
        </is>
      </c>
      <c r="M2" s="22" t="inlineStr">
        <is>
          <t>layer=business</t>
        </is>
      </c>
    </row>
    <row r="3" ht="15" customHeight="1" s="12">
      <c r="A3" s="22" t="inlineStr">
        <is>
          <t>D1</t>
        </is>
      </c>
      <c r="B3" s="22" t="inlineStr">
        <is>
          <t>L2</t>
        </is>
      </c>
      <c r="C3" s="22" t="n"/>
      <c r="D3" s="22" t="inlineStr">
        <is>
          <t>group</t>
        </is>
      </c>
      <c r="E3" s="22" t="inlineStr">
        <is>
          <t>Application Layer</t>
        </is>
      </c>
      <c r="F3" s="22" t="n">
        <v>2</v>
      </c>
      <c r="G3" s="22" t="n">
        <v>1</v>
      </c>
      <c r="H3" s="22" t="n"/>
      <c r="I3" s="22" t="n"/>
      <c r="J3" s="22">
        <f>IF(H3&lt;&gt;"",H3,MIN(260,MAX(VLOOKUP(D3,Shape_Library!$A:$H,7,0),LEN(E3)*7+24)))</f>
        <v/>
      </c>
      <c r="K3" s="22">
        <f>IF(I3&lt;&gt;"",I3,MAX(VLOOKUP(D3,Shape_Library!$A:$H,8,0),CEILING(LEN(E3)*7/(J3-24),1)*16+20))</f>
        <v/>
      </c>
      <c r="L3" s="22" t="inlineStr">
        <is>
          <t>#E8F4FB</t>
        </is>
      </c>
      <c r="M3" s="22" t="inlineStr">
        <is>
          <t>layer=application</t>
        </is>
      </c>
    </row>
    <row r="4" ht="15" customHeight="1" s="12">
      <c r="A4" s="22" t="inlineStr">
        <is>
          <t>D1</t>
        </is>
      </c>
      <c r="B4" s="22" t="inlineStr">
        <is>
          <t>L3</t>
        </is>
      </c>
      <c r="C4" s="22" t="n"/>
      <c r="D4" s="22" t="inlineStr">
        <is>
          <t>group</t>
        </is>
      </c>
      <c r="E4" s="22" t="inlineStr">
        <is>
          <t>Technology Layer</t>
        </is>
      </c>
      <c r="F4" s="22" t="n">
        <v>3</v>
      </c>
      <c r="G4" s="22" t="n">
        <v>1</v>
      </c>
      <c r="H4" s="22" t="n"/>
      <c r="I4" s="22" t="n"/>
      <c r="J4" s="22">
        <f>IF(H4&lt;&gt;"",H4,MIN(260,MAX(VLOOKUP(D4,Shape_Library!$A:$H,7,0),LEN(E4)*7+24)))</f>
        <v/>
      </c>
      <c r="K4" s="22">
        <f>IF(I4&lt;&gt;"",I4,MAX(VLOOKUP(D4,Shape_Library!$A:$H,8,0),CEILING(LEN(E4)*7/(J4-24),1)*16+20))</f>
        <v/>
      </c>
      <c r="L4" s="22" t="inlineStr">
        <is>
          <t>#EDF7ED</t>
        </is>
      </c>
      <c r="M4" s="22" t="inlineStr">
        <is>
          <t>layer=technology</t>
        </is>
      </c>
    </row>
    <row r="5" ht="15" customHeight="1" s="12">
      <c r="A5" s="22" t="inlineStr">
        <is>
          <t>D1</t>
        </is>
      </c>
      <c r="B5" s="22" t="inlineStr">
        <is>
          <t>B1</t>
        </is>
      </c>
      <c r="C5" s="22" t="inlineStr">
        <is>
          <t>L1</t>
        </is>
      </c>
      <c r="D5" s="22" t="inlineStr">
        <is>
          <t>business_process</t>
        </is>
      </c>
      <c r="E5" s="22" t="inlineStr">
        <is>
          <t>Order Fulfilment</t>
        </is>
      </c>
      <c r="F5" s="22" t="n">
        <v>1</v>
      </c>
      <c r="G5" s="22" t="n">
        <v>1</v>
      </c>
      <c r="H5" s="22" t="n"/>
      <c r="I5" s="22" t="n"/>
      <c r="J5" s="22">
        <f>IF(H5&lt;&gt;"",H5,MIN(260,MAX(VLOOKUP(D5,Shape_Library!$A:$H,7,0),LEN(E5)*7+24)))</f>
        <v/>
      </c>
      <c r="K5" s="22">
        <f>IF(I5&lt;&gt;"",I5,MAX(VLOOKUP(D5,Shape_Library!$A:$H,8,0),CEILING(LEN(E5)*7/(J5-24),1)*16+20))</f>
        <v/>
      </c>
      <c r="L5" s="22" t="n"/>
      <c r="M5" s="22" t="n"/>
    </row>
    <row r="6" ht="15" customHeight="1" s="12">
      <c r="A6" s="22" t="inlineStr">
        <is>
          <t>D1</t>
        </is>
      </c>
      <c r="B6" s="22" t="inlineStr">
        <is>
          <t>B2</t>
        </is>
      </c>
      <c r="C6" s="22" t="inlineStr">
        <is>
          <t>L1</t>
        </is>
      </c>
      <c r="D6" s="22" t="inlineStr">
        <is>
          <t>business_service</t>
        </is>
      </c>
      <c r="E6" s="22" t="inlineStr">
        <is>
          <t>Customer Support Service</t>
        </is>
      </c>
      <c r="F6" s="22" t="n">
        <v>1</v>
      </c>
      <c r="G6" s="22" t="n">
        <v>2</v>
      </c>
      <c r="H6" s="22" t="n"/>
      <c r="I6" s="22" t="n"/>
      <c r="J6" s="22">
        <f>IF(H6&lt;&gt;"",H6,MIN(260,MAX(VLOOKUP(D6,Shape_Library!$A:$H,7,0),LEN(E6)*7+24)))</f>
        <v/>
      </c>
      <c r="K6" s="22">
        <f>IF(I6&lt;&gt;"",I6,MAX(VLOOKUP(D6,Shape_Library!$A:$H,8,0),CEILING(LEN(E6)*7/(J6-24),1)*16+20))</f>
        <v/>
      </c>
      <c r="L6" s="22" t="n"/>
      <c r="M6" s="22" t="n"/>
    </row>
    <row r="7" ht="15" customHeight="1" s="12">
      <c r="A7" s="22" t="inlineStr">
        <is>
          <t>D1</t>
        </is>
      </c>
      <c r="B7" s="22" t="inlineStr">
        <is>
          <t>A1</t>
        </is>
      </c>
      <c r="C7" s="22" t="inlineStr">
        <is>
          <t>L2</t>
        </is>
      </c>
      <c r="D7" s="22" t="inlineStr">
        <is>
          <t>application_component</t>
        </is>
      </c>
      <c r="E7" s="22" t="inlineStr">
        <is>
          <t>E-Commerce Platform</t>
        </is>
      </c>
      <c r="F7" s="22" t="n">
        <v>1</v>
      </c>
      <c r="G7" s="22" t="n">
        <v>1</v>
      </c>
      <c r="H7" s="22" t="n"/>
      <c r="I7" s="22" t="n"/>
      <c r="J7" s="22">
        <f>IF(H7&lt;&gt;"",H7,MIN(260,MAX(VLOOKUP(D7,Shape_Library!$A:$H,7,0),LEN(E7)*7+24)))</f>
        <v/>
      </c>
      <c r="K7" s="22">
        <f>IF(I7&lt;&gt;"",I7,MAX(VLOOKUP(D7,Shape_Library!$A:$H,8,0),CEILING(LEN(E7)*7/(J7-24),1)*16+20))</f>
        <v/>
      </c>
      <c r="L7" s="22" t="n"/>
      <c r="M7" s="22" t="inlineStr">
        <is>
          <t>lifecycle=active</t>
        </is>
      </c>
    </row>
    <row r="8" ht="15" customHeight="1" s="12">
      <c r="A8" s="22" t="inlineStr">
        <is>
          <t>D1</t>
        </is>
      </c>
      <c r="B8" s="22" t="inlineStr">
        <is>
          <t>A2</t>
        </is>
      </c>
      <c r="C8" s="22" t="inlineStr">
        <is>
          <t>L2</t>
        </is>
      </c>
      <c r="D8" s="22" t="inlineStr">
        <is>
          <t>application_component</t>
        </is>
      </c>
      <c r="E8" s="22" t="inlineStr">
        <is>
          <t>CRM System</t>
        </is>
      </c>
      <c r="F8" s="22" t="n">
        <v>1</v>
      </c>
      <c r="G8" s="22" t="n">
        <v>2</v>
      </c>
      <c r="H8" s="22" t="n"/>
      <c r="I8" s="22" t="n"/>
      <c r="J8" s="22">
        <f>IF(H8&lt;&gt;"",H8,MIN(260,MAX(VLOOKUP(D8,Shape_Library!$A:$H,7,0),LEN(E8)*7+24)))</f>
        <v/>
      </c>
      <c r="K8" s="22">
        <f>IF(I8&lt;&gt;"",I8,MAX(VLOOKUP(D8,Shape_Library!$A:$H,8,0),CEILING(LEN(E8)*7/(J8-24),1)*16+20))</f>
        <v/>
      </c>
      <c r="L8" s="22" t="n"/>
      <c r="M8" s="22" t="inlineStr">
        <is>
          <t>lifecycle=phase-out</t>
        </is>
      </c>
    </row>
    <row r="9" ht="15" customHeight="1" s="12">
      <c r="A9" s="22" t="inlineStr">
        <is>
          <t>D1</t>
        </is>
      </c>
      <c r="B9" s="22" t="inlineStr">
        <is>
          <t>A3</t>
        </is>
      </c>
      <c r="C9" s="22" t="inlineStr">
        <is>
          <t>L2</t>
        </is>
      </c>
      <c r="D9" s="22" t="inlineStr">
        <is>
          <t>application_service</t>
        </is>
      </c>
      <c r="E9" s="22" t="inlineStr">
        <is>
          <t>Order Management Service</t>
        </is>
      </c>
      <c r="F9" s="22" t="n">
        <v>1</v>
      </c>
      <c r="G9" s="22" t="n">
        <v>3</v>
      </c>
      <c r="H9" s="22" t="n"/>
      <c r="I9" s="22" t="n"/>
      <c r="J9" s="22">
        <f>IF(H9&lt;&gt;"",H9,MIN(260,MAX(VLOOKUP(D9,Shape_Library!$A:$H,7,0),LEN(E9)*7+24)))</f>
        <v/>
      </c>
      <c r="K9" s="22">
        <f>IF(I9&lt;&gt;"",I9,MAX(VLOOKUP(D9,Shape_Library!$A:$H,8,0),CEILING(LEN(E9)*7/(J9-24),1)*16+20))</f>
        <v/>
      </c>
      <c r="L9" s="22" t="n"/>
      <c r="M9" s="22" t="n"/>
    </row>
    <row r="10" ht="15" customHeight="1" s="12">
      <c r="A10" s="22" t="inlineStr">
        <is>
          <t>D1</t>
        </is>
      </c>
      <c r="B10" s="22" t="inlineStr">
        <is>
          <t>T1</t>
        </is>
      </c>
      <c r="C10" s="22" t="inlineStr">
        <is>
          <t>L3</t>
        </is>
      </c>
      <c r="D10" s="22" t="inlineStr">
        <is>
          <t>node</t>
        </is>
      </c>
      <c r="E10" s="22" t="inlineStr">
        <is>
          <t>Kubernetes Cluster</t>
        </is>
      </c>
      <c r="F10" s="22" t="n">
        <v>1</v>
      </c>
      <c r="G10" s="22" t="n">
        <v>1</v>
      </c>
      <c r="H10" s="22" t="n"/>
      <c r="I10" s="22" t="n"/>
      <c r="J10" s="22">
        <f>IF(H10&lt;&gt;"",H10,MIN(260,MAX(VLOOKUP(D10,Shape_Library!$A:$H,7,0),LEN(E10)*7+24)))</f>
        <v/>
      </c>
      <c r="K10" s="22">
        <f>IF(I10&lt;&gt;"",I10,MAX(VLOOKUP(D10,Shape_Library!$A:$H,8,0),CEILING(LEN(E10)*7/(J10-24),1)*16+20))</f>
        <v/>
      </c>
      <c r="L10" s="22" t="n"/>
      <c r="M10" s="22" t="n"/>
    </row>
    <row r="11" ht="15" customHeight="1" s="12">
      <c r="A11" s="22" t="inlineStr">
        <is>
          <t>D1</t>
        </is>
      </c>
      <c r="B11" s="22" t="inlineStr">
        <is>
          <t>T2</t>
        </is>
      </c>
      <c r="C11" s="22" t="inlineStr">
        <is>
          <t>L3</t>
        </is>
      </c>
      <c r="D11" s="22" t="inlineStr">
        <is>
          <t>device</t>
        </is>
      </c>
      <c r="E11" s="22" t="inlineStr">
        <is>
          <t>Database Server</t>
        </is>
      </c>
      <c r="F11" s="22" t="n">
        <v>1</v>
      </c>
      <c r="G11" s="22" t="n">
        <v>2</v>
      </c>
      <c r="H11" s="22" t="n"/>
      <c r="I11" s="22" t="n"/>
      <c r="J11" s="22">
        <f>IF(H11&lt;&gt;"",H11,MIN(260,MAX(VLOOKUP(D11,Shape_Library!$A:$H,7,0),LEN(E11)*7+24)))</f>
        <v/>
      </c>
      <c r="K11" s="22">
        <f>IF(I11&lt;&gt;"",I11,MAX(VLOOKUP(D11,Shape_Library!$A:$H,8,0),CEILING(LEN(E11)*7/(J11-24),1)*16+20))</f>
        <v/>
      </c>
      <c r="L11" s="22" t="n"/>
      <c r="M11" s="22" t="n"/>
    </row>
    <row r="12" ht="15" customHeight="1" s="12">
      <c r="A12" s="22" t="inlineStr">
        <is>
          <t>D2</t>
        </is>
      </c>
      <c r="B12" s="22" t="inlineStr">
        <is>
          <t>F1</t>
        </is>
      </c>
      <c r="C12" s="22" t="n"/>
      <c r="D12" s="22" t="inlineStr">
        <is>
          <t>start_end</t>
        </is>
      </c>
      <c r="E12" s="22" t="inlineStr">
        <is>
          <t>Start</t>
        </is>
      </c>
      <c r="F12" s="22" t="n">
        <v>1</v>
      </c>
      <c r="G12" s="22" t="n">
        <v>1</v>
      </c>
      <c r="H12" s="22" t="n"/>
      <c r="I12" s="22" t="n"/>
      <c r="J12" s="22">
        <f>IF(H12&lt;&gt;"",H12,MIN(260,MAX(VLOOKUP(D12,Shape_Library!$A:$H,7,0),LEN(E12)*7+24)))</f>
        <v/>
      </c>
      <c r="K12" s="22">
        <f>IF(I12&lt;&gt;"",I12,MAX(VLOOKUP(D12,Shape_Library!$A:$H,8,0),CEILING(LEN(E12)*7/(J12-24),1)*16+20))</f>
        <v/>
      </c>
      <c r="L12" s="22" t="n"/>
      <c r="M12" s="22" t="n"/>
    </row>
    <row r="13" ht="15" customHeight="1" s="12">
      <c r="A13" s="22" t="inlineStr">
        <is>
          <t>D2</t>
        </is>
      </c>
      <c r="B13" s="22" t="inlineStr">
        <is>
          <t>F2</t>
        </is>
      </c>
      <c r="C13" s="22" t="n"/>
      <c r="D13" s="22" t="inlineStr">
        <is>
          <t>process</t>
        </is>
      </c>
      <c r="E13" s="22" t="inlineStr">
        <is>
          <t>Receive Purchase Order</t>
        </is>
      </c>
      <c r="F13" s="22" t="n">
        <v>2</v>
      </c>
      <c r="G13" s="22" t="n">
        <v>1</v>
      </c>
      <c r="H13" s="22" t="n"/>
      <c r="I13" s="22" t="n"/>
      <c r="J13" s="22">
        <f>IF(H13&lt;&gt;"",H13,MIN(260,MAX(VLOOKUP(D13,Shape_Library!$A:$H,7,0),LEN(E13)*7+24)))</f>
        <v/>
      </c>
      <c r="K13" s="22">
        <f>IF(I13&lt;&gt;"",I13,MAX(VLOOKUP(D13,Shape_Library!$A:$H,8,0),CEILING(LEN(E13)*7/(J13-24),1)*16+20))</f>
        <v/>
      </c>
      <c r="L13" s="22" t="n"/>
      <c r="M13" s="22" t="n"/>
    </row>
    <row r="14" ht="15" customHeight="1" s="12">
      <c r="A14" s="22" t="inlineStr">
        <is>
          <t>D2</t>
        </is>
      </c>
      <c r="B14" s="22" t="inlineStr">
        <is>
          <t>F3</t>
        </is>
      </c>
      <c r="C14" s="22" t="n"/>
      <c r="D14" s="22" t="inlineStr">
        <is>
          <t>decision</t>
        </is>
      </c>
      <c r="E14" s="22" t="inlineStr">
        <is>
          <t>Budget Approved?</t>
        </is>
      </c>
      <c r="F14" s="22" t="n">
        <v>3</v>
      </c>
      <c r="G14" s="22" t="n">
        <v>1</v>
      </c>
      <c r="H14" s="22" t="n"/>
      <c r="I14" s="22" t="n"/>
      <c r="J14" s="22">
        <f>IF(H14&lt;&gt;"",H14,MIN(260,MAX(VLOOKUP(D14,Shape_Library!$A:$H,7,0),LEN(E14)*7+24)))</f>
        <v/>
      </c>
      <c r="K14" s="22">
        <f>IF(I14&lt;&gt;"",I14,MAX(VLOOKUP(D14,Shape_Library!$A:$H,8,0),CEILING(LEN(E14)*7/(J14-24),1)*16+20))</f>
        <v/>
      </c>
      <c r="L14" s="22" t="n"/>
      <c r="M14" s="22" t="n"/>
    </row>
    <row r="15" ht="15" customHeight="1" s="12">
      <c r="A15" s="22" t="inlineStr">
        <is>
          <t>D2</t>
        </is>
      </c>
      <c r="B15" s="22" t="inlineStr">
        <is>
          <t>F4</t>
        </is>
      </c>
      <c r="C15" s="22" t="n"/>
      <c r="D15" s="22" t="inlineStr">
        <is>
          <t>process</t>
        </is>
      </c>
      <c r="E15" s="22" t="inlineStr">
        <is>
          <t>Process Payment</t>
        </is>
      </c>
      <c r="F15" s="22" t="n">
        <v>4</v>
      </c>
      <c r="G15" s="22" t="n">
        <v>1</v>
      </c>
      <c r="H15" s="22" t="n"/>
      <c r="I15" s="22" t="n"/>
      <c r="J15" s="22">
        <f>IF(H15&lt;&gt;"",H15,MIN(260,MAX(VLOOKUP(D15,Shape_Library!$A:$H,7,0),LEN(E15)*7+24)))</f>
        <v/>
      </c>
      <c r="K15" s="22">
        <f>IF(I15&lt;&gt;"",I15,MAX(VLOOKUP(D15,Shape_Library!$A:$H,8,0),CEILING(LEN(E15)*7/(J15-24),1)*16+20))</f>
        <v/>
      </c>
      <c r="L15" s="22" t="n"/>
      <c r="M15" s="22" t="n"/>
    </row>
    <row r="16" ht="15" customHeight="1" s="12">
      <c r="A16" s="22" t="inlineStr">
        <is>
          <t>D2</t>
        </is>
      </c>
      <c r="B16" s="22" t="inlineStr">
        <is>
          <t>F5</t>
        </is>
      </c>
      <c r="C16" s="22" t="n"/>
      <c r="D16" s="22" t="inlineStr">
        <is>
          <t>process</t>
        </is>
      </c>
      <c r="E16" s="22" t="inlineStr">
        <is>
          <t>Notify Requester of Rejection</t>
        </is>
      </c>
      <c r="F16" s="22" t="n">
        <v>4</v>
      </c>
      <c r="G16" s="22" t="n">
        <v>2</v>
      </c>
      <c r="H16" s="22" t="n"/>
      <c r="I16" s="22" t="n"/>
      <c r="J16" s="22">
        <f>IF(H16&lt;&gt;"",H16,MIN(260,MAX(VLOOKUP(D16,Shape_Library!$A:$H,7,0),LEN(E16)*7+24)))</f>
        <v/>
      </c>
      <c r="K16" s="22">
        <f>IF(I16&lt;&gt;"",I16,MAX(VLOOKUP(D16,Shape_Library!$A:$H,8,0),CEILING(LEN(E16)*7/(J16-24),1)*16+20))</f>
        <v/>
      </c>
      <c r="L16" s="22" t="n"/>
      <c r="M16" s="22" t="n"/>
    </row>
    <row r="17" ht="15" customHeight="1" s="12">
      <c r="A17" s="22" t="inlineStr">
        <is>
          <t>D2</t>
        </is>
      </c>
      <c r="B17" s="22" t="inlineStr">
        <is>
          <t>F6</t>
        </is>
      </c>
      <c r="C17" s="22" t="n"/>
      <c r="D17" s="22" t="inlineStr">
        <is>
          <t>data_io</t>
        </is>
      </c>
      <c r="E17" s="22" t="inlineStr">
        <is>
          <t>Update ERP Record</t>
        </is>
      </c>
      <c r="F17" s="22" t="n">
        <v>5</v>
      </c>
      <c r="G17" s="22" t="n">
        <v>1</v>
      </c>
      <c r="H17" s="22" t="n"/>
      <c r="I17" s="22" t="n"/>
      <c r="J17" s="22">
        <f>IF(H17&lt;&gt;"",H17,MIN(260,MAX(VLOOKUP(D17,Shape_Library!$A:$H,7,0),LEN(E17)*7+24)))</f>
        <v/>
      </c>
      <c r="K17" s="22">
        <f>IF(I17&lt;&gt;"",I17,MAX(VLOOKUP(D17,Shape_Library!$A:$H,8,0),CEILING(LEN(E17)*7/(J17-24),1)*16+20))</f>
        <v/>
      </c>
      <c r="L17" s="22" t="n"/>
      <c r="M17" s="22" t="n"/>
    </row>
    <row r="18" ht="15" customHeight="1" s="12">
      <c r="A18" s="22" t="inlineStr">
        <is>
          <t>D2</t>
        </is>
      </c>
      <c r="B18" s="22" t="inlineStr">
        <is>
          <t>F7</t>
        </is>
      </c>
      <c r="C18" s="22" t="n"/>
      <c r="D18" s="22" t="inlineStr">
        <is>
          <t>start_end</t>
        </is>
      </c>
      <c r="E18" s="22" t="inlineStr">
        <is>
          <t>End</t>
        </is>
      </c>
      <c r="F18" s="22" t="n">
        <v>6</v>
      </c>
      <c r="G18" s="22" t="n">
        <v>1</v>
      </c>
      <c r="H18" s="22" t="n"/>
      <c r="I18" s="22" t="n"/>
      <c r="J18" s="22">
        <f>IF(H18&lt;&gt;"",H18,MIN(260,MAX(VLOOKUP(D18,Shape_Library!$A:$H,7,0),LEN(E18)*7+24)))</f>
        <v/>
      </c>
      <c r="K18" s="22">
        <f>IF(I18&lt;&gt;"",I18,MAX(VLOOKUP(D18,Shape_Library!$A:$H,8,0),CEILING(LEN(E18)*7/(J18-24),1)*16+20))</f>
        <v/>
      </c>
      <c r="L18" s="22" t="n"/>
      <c r="M18" s="22" t="n"/>
    </row>
    <row r="19" ht="15" customHeight="1" s="12">
      <c r="A19" s="22" t="inlineStr">
        <is>
          <t>D3</t>
        </is>
      </c>
      <c r="B19" s="22" t="inlineStr">
        <is>
          <t>P1</t>
        </is>
      </c>
      <c r="C19" s="22" t="n"/>
      <c r="D19" s="22" t="inlineStr">
        <is>
          <t>person_card</t>
        </is>
      </c>
      <c r="E19" s="22" t="inlineStr">
        <is>
          <t>Priya Sharma — VP Engineering</t>
        </is>
      </c>
      <c r="F19" s="22" t="n">
        <v>1</v>
      </c>
      <c r="G19" s="22" t="n">
        <v>1</v>
      </c>
      <c r="H19" s="22" t="n"/>
      <c r="I19" s="22" t="n"/>
      <c r="J19" s="22">
        <f>IF(H19&lt;&gt;"",H19,MIN(260,MAX(VLOOKUP(D19,Shape_Library!$A:$H,7,0),LEN(E19)*7+24)))</f>
        <v/>
      </c>
      <c r="K19" s="22">
        <f>IF(I19&lt;&gt;"",I19,MAX(VLOOKUP(D19,Shape_Library!$A:$H,8,0),CEILING(LEN(E19)*7/(J19-24),1)*16+20))</f>
        <v/>
      </c>
      <c r="L19" s="22" t="n"/>
      <c r="M19" s="22" t="inlineStr">
        <is>
          <t>dept=Engineering</t>
        </is>
      </c>
    </row>
    <row r="20" ht="15" customHeight="1" s="12">
      <c r="A20" s="22" t="inlineStr">
        <is>
          <t>D3</t>
        </is>
      </c>
      <c r="B20" s="22" t="inlineStr">
        <is>
          <t>P2</t>
        </is>
      </c>
      <c r="C20" s="22" t="n"/>
      <c r="D20" s="22" t="inlineStr">
        <is>
          <t>person_card</t>
        </is>
      </c>
      <c r="E20" s="22" t="inlineStr">
        <is>
          <t>Jacob Cherian — Director, Platform</t>
        </is>
      </c>
      <c r="F20" s="22" t="n">
        <v>2</v>
      </c>
      <c r="G20" s="22" t="n">
        <v>1</v>
      </c>
      <c r="H20" s="22" t="n"/>
      <c r="I20" s="22" t="n"/>
      <c r="J20" s="22">
        <f>IF(H20&lt;&gt;"",H20,MIN(260,MAX(VLOOKUP(D20,Shape_Library!$A:$H,7,0),LEN(E20)*7+24)))</f>
        <v/>
      </c>
      <c r="K20" s="22">
        <f>IF(I20&lt;&gt;"",I20,MAX(VLOOKUP(D20,Shape_Library!$A:$H,8,0),CEILING(LEN(E20)*7/(J20-24),1)*16+20))</f>
        <v/>
      </c>
      <c r="L20" s="22" t="n"/>
      <c r="M20" s="22" t="n"/>
    </row>
    <row r="21" ht="15" customHeight="1" s="12">
      <c r="A21" s="22" t="inlineStr">
        <is>
          <t>D3</t>
        </is>
      </c>
      <c r="B21" s="22" t="inlineStr">
        <is>
          <t>P3</t>
        </is>
      </c>
      <c r="C21" s="22" t="n"/>
      <c r="D21" s="22" t="inlineStr">
        <is>
          <t>person_card</t>
        </is>
      </c>
      <c r="E21" s="22" t="inlineStr">
        <is>
          <t>Abhijit Davande — Director, Apps</t>
        </is>
      </c>
      <c r="F21" s="22" t="n">
        <v>2</v>
      </c>
      <c r="G21" s="22" t="n">
        <v>2</v>
      </c>
      <c r="H21" s="22" t="n"/>
      <c r="I21" s="22" t="n"/>
      <c r="J21" s="22">
        <f>IF(H21&lt;&gt;"",H21,MIN(260,MAX(VLOOKUP(D21,Shape_Library!$A:$H,7,0),LEN(E21)*7+24)))</f>
        <v/>
      </c>
      <c r="K21" s="22">
        <f>IF(I21&lt;&gt;"",I21,MAX(VLOOKUP(D21,Shape_Library!$A:$H,8,0),CEILING(LEN(E21)*7/(J21-24),1)*16+20))</f>
        <v/>
      </c>
      <c r="L21" s="22" t="n"/>
      <c r="M21" s="22" t="n"/>
    </row>
    <row r="22" ht="15" customHeight="1" s="12">
      <c r="A22" s="22" t="inlineStr">
        <is>
          <t>D3</t>
        </is>
      </c>
      <c r="B22" s="22" t="inlineStr">
        <is>
          <t>P4</t>
        </is>
      </c>
      <c r="C22" s="22" t="n"/>
      <c r="D22" s="22" t="inlineStr">
        <is>
          <t>person_card</t>
        </is>
      </c>
      <c r="E22" s="22" t="inlineStr">
        <is>
          <t>Manav Rathi — Senior Engineer</t>
        </is>
      </c>
      <c r="F22" s="22" t="n">
        <v>3</v>
      </c>
      <c r="G22" s="22" t="n">
        <v>1</v>
      </c>
      <c r="H22" s="22" t="n"/>
      <c r="I22" s="22" t="n"/>
      <c r="J22" s="22">
        <f>IF(H22&lt;&gt;"",H22,MIN(260,MAX(VLOOKUP(D22,Shape_Library!$A:$H,7,0),LEN(E22)*7+24)))</f>
        <v/>
      </c>
      <c r="K22" s="22">
        <f>IF(I22&lt;&gt;"",I22,MAX(VLOOKUP(D22,Shape_Library!$A:$H,8,0),CEILING(LEN(E22)*7/(J22-24),1)*16+20))</f>
        <v/>
      </c>
      <c r="L22" s="22" t="n"/>
      <c r="M22" s="22" t="n"/>
    </row>
    <row r="23" ht="15" customHeight="1" s="12">
      <c r="A23" s="22" t="inlineStr">
        <is>
          <t>D3</t>
        </is>
      </c>
      <c r="B23" s="22" t="inlineStr">
        <is>
          <t>P5</t>
        </is>
      </c>
      <c r="C23" s="22" t="n"/>
      <c r="D23" s="22" t="inlineStr">
        <is>
          <t>person_card</t>
        </is>
      </c>
      <c r="E23" s="22" t="inlineStr">
        <is>
          <t>Palaash Padman — Engineer</t>
        </is>
      </c>
      <c r="F23" s="22" t="n">
        <v>3</v>
      </c>
      <c r="G23" s="22" t="n">
        <v>2</v>
      </c>
      <c r="H23" s="22" t="n"/>
      <c r="I23" s="22" t="n"/>
      <c r="J23" s="22">
        <f>IF(H23&lt;&gt;"",H23,MIN(260,MAX(VLOOKUP(D23,Shape_Library!$A:$H,7,0),LEN(E23)*7+24)))</f>
        <v/>
      </c>
      <c r="K23" s="22">
        <f>IF(I23&lt;&gt;"",I23,MAX(VLOOKUP(D23,Shape_Library!$A:$H,8,0),CEILING(LEN(E23)*7/(J23-24),1)*16+20))</f>
        <v/>
      </c>
      <c r="L23" s="22" t="n"/>
      <c r="M23" s="22" t="n"/>
    </row>
    <row r="24" ht="15" customHeight="1" s="12">
      <c r="A24" s="22" t="inlineStr">
        <is>
          <t>D4</t>
        </is>
      </c>
      <c r="B24" s="22" t="inlineStr">
        <is>
          <t>N0</t>
        </is>
      </c>
      <c r="C24" s="22" t="n"/>
      <c r="D24" s="22" t="inlineStr">
        <is>
          <t>cloud</t>
        </is>
      </c>
      <c r="E24" s="22" t="inlineStr">
        <is>
          <t>Internet</t>
        </is>
      </c>
      <c r="F24" s="22" t="n">
        <v>1</v>
      </c>
      <c r="G24" s="22" t="n">
        <v>1</v>
      </c>
      <c r="H24" s="22" t="n"/>
      <c r="I24" s="22" t="n"/>
      <c r="J24" s="22">
        <f>IF(H24&lt;&gt;"",H24,MIN(260,MAX(VLOOKUP(D24,Shape_Library!$A:$H,7,0),LEN(E24)*7+24)))</f>
        <v/>
      </c>
      <c r="K24" s="22">
        <f>IF(I24&lt;&gt;"",I24,MAX(VLOOKUP(D24,Shape_Library!$A:$H,8,0),CEILING(LEN(E24)*7/(J24-24),1)*16+20))</f>
        <v/>
      </c>
      <c r="L24" s="22" t="n"/>
      <c r="M24" s="22" t="n"/>
    </row>
    <row r="25" ht="15" customHeight="1" s="12">
      <c r="A25" s="22" t="inlineStr">
        <is>
          <t>D4</t>
        </is>
      </c>
      <c r="B25" s="22" t="inlineStr">
        <is>
          <t>Z1</t>
        </is>
      </c>
      <c r="C25" s="22" t="n"/>
      <c r="D25" s="22" t="inlineStr">
        <is>
          <t>zone</t>
        </is>
      </c>
      <c r="E25" s="22" t="inlineStr">
        <is>
          <t>DMZ</t>
        </is>
      </c>
      <c r="F25" s="22" t="n">
        <v>2</v>
      </c>
      <c r="G25" s="22" t="n">
        <v>1</v>
      </c>
      <c r="H25" s="22" t="n"/>
      <c r="I25" s="22" t="n"/>
      <c r="J25" s="22">
        <f>IF(H25&lt;&gt;"",H25,MIN(260,MAX(VLOOKUP(D25,Shape_Library!$A:$H,7,0),LEN(E25)*7+24)))</f>
        <v/>
      </c>
      <c r="K25" s="22">
        <f>IF(I25&lt;&gt;"",I25,MAX(VLOOKUP(D25,Shape_Library!$A:$H,8,0),CEILING(LEN(E25)*7/(J25-24),1)*16+20))</f>
        <v/>
      </c>
      <c r="L25" s="22" t="n"/>
      <c r="M25" s="22" t="n"/>
    </row>
    <row r="26" ht="15" customHeight="1" s="12">
      <c r="A26" s="22" t="inlineStr">
        <is>
          <t>D4</t>
        </is>
      </c>
      <c r="B26" s="22" t="inlineStr">
        <is>
          <t>Z2</t>
        </is>
      </c>
      <c r="C26" s="22" t="n"/>
      <c r="D26" s="22" t="inlineStr">
        <is>
          <t>zone</t>
        </is>
      </c>
      <c r="E26" s="22" t="inlineStr">
        <is>
          <t>Internal Network</t>
        </is>
      </c>
      <c r="F26" s="22" t="n">
        <v>3</v>
      </c>
      <c r="G26" s="22" t="n">
        <v>1</v>
      </c>
      <c r="H26" s="22" t="n"/>
      <c r="I26" s="22" t="n"/>
      <c r="J26" s="22">
        <f>IF(H26&lt;&gt;"",H26,MIN(260,MAX(VLOOKUP(D26,Shape_Library!$A:$H,7,0),LEN(E26)*7+24)))</f>
        <v/>
      </c>
      <c r="K26" s="22">
        <f>IF(I26&lt;&gt;"",I26,MAX(VLOOKUP(D26,Shape_Library!$A:$H,8,0),CEILING(LEN(E26)*7/(J26-24),1)*16+20))</f>
        <v/>
      </c>
      <c r="L26" s="22" t="n"/>
      <c r="M26" s="22" t="n"/>
    </row>
    <row r="27" ht="15" customHeight="1" s="12">
      <c r="A27" s="22" t="inlineStr">
        <is>
          <t>D4</t>
        </is>
      </c>
      <c r="B27" s="22" t="inlineStr">
        <is>
          <t>N1</t>
        </is>
      </c>
      <c r="C27" s="22" t="inlineStr">
        <is>
          <t>Z1</t>
        </is>
      </c>
      <c r="D27" s="22" t="inlineStr">
        <is>
          <t>firewall</t>
        </is>
      </c>
      <c r="E27" s="22" t="inlineStr">
        <is>
          <t>Edge Firewall</t>
        </is>
      </c>
      <c r="F27" s="22" t="n">
        <v>1</v>
      </c>
      <c r="G27" s="22" t="n">
        <v>1</v>
      </c>
      <c r="H27" s="22" t="n"/>
      <c r="I27" s="22" t="n"/>
      <c r="J27" s="22">
        <f>IF(H27&lt;&gt;"",H27,MIN(260,MAX(VLOOKUP(D27,Shape_Library!$A:$H,7,0),LEN(E27)*7+24)))</f>
        <v/>
      </c>
      <c r="K27" s="22">
        <f>IF(I27&lt;&gt;"",I27,MAX(VLOOKUP(D27,Shape_Library!$A:$H,8,0),CEILING(LEN(E27)*7/(J27-24),1)*16+20))</f>
        <v/>
      </c>
      <c r="L27" s="22" t="n"/>
      <c r="M27" s="22" t="n"/>
    </row>
    <row r="28" ht="15" customHeight="1" s="12">
      <c r="A28" s="22" t="inlineStr">
        <is>
          <t>D4</t>
        </is>
      </c>
      <c r="B28" s="22" t="inlineStr">
        <is>
          <t>N2</t>
        </is>
      </c>
      <c r="C28" s="22" t="inlineStr">
        <is>
          <t>Z1</t>
        </is>
      </c>
      <c r="D28" s="22" t="inlineStr">
        <is>
          <t>load_balancer</t>
        </is>
      </c>
      <c r="E28" s="22" t="inlineStr">
        <is>
          <t>Load Balancer</t>
        </is>
      </c>
      <c r="F28" s="22" t="n">
        <v>1</v>
      </c>
      <c r="G28" s="22" t="n">
        <v>2</v>
      </c>
      <c r="H28" s="22" t="n"/>
      <c r="I28" s="22" t="n"/>
      <c r="J28" s="22">
        <f>IF(H28&lt;&gt;"",H28,MIN(260,MAX(VLOOKUP(D28,Shape_Library!$A:$H,7,0),LEN(E28)*7+24)))</f>
        <v/>
      </c>
      <c r="K28" s="22">
        <f>IF(I28&lt;&gt;"",I28,MAX(VLOOKUP(D28,Shape_Library!$A:$H,8,0),CEILING(LEN(E28)*7/(J28-24),1)*16+20))</f>
        <v/>
      </c>
      <c r="L28" s="22" t="n"/>
      <c r="M28" s="22" t="n"/>
    </row>
    <row r="29" ht="15" customHeight="1" s="12">
      <c r="A29" s="22" t="inlineStr">
        <is>
          <t>D4</t>
        </is>
      </c>
      <c r="B29" s="22" t="inlineStr">
        <is>
          <t>N3</t>
        </is>
      </c>
      <c r="C29" s="22" t="inlineStr">
        <is>
          <t>Z2</t>
        </is>
      </c>
      <c r="D29" s="22" t="inlineStr">
        <is>
          <t>server</t>
        </is>
      </c>
      <c r="E29" s="22" t="inlineStr">
        <is>
          <t>Web Server 01</t>
        </is>
      </c>
      <c r="F29" s="22" t="n">
        <v>1</v>
      </c>
      <c r="G29" s="22" t="n">
        <v>1</v>
      </c>
      <c r="H29" s="22" t="n"/>
      <c r="I29" s="22" t="n"/>
      <c r="J29" s="22">
        <f>IF(H29&lt;&gt;"",H29,MIN(260,MAX(VLOOKUP(D29,Shape_Library!$A:$H,7,0),LEN(E29)*7+24)))</f>
        <v/>
      </c>
      <c r="K29" s="22">
        <f>IF(I29&lt;&gt;"",I29,MAX(VLOOKUP(D29,Shape_Library!$A:$H,8,0),CEILING(LEN(E29)*7/(J29-24),1)*16+20))</f>
        <v/>
      </c>
      <c r="L29" s="22" t="n"/>
      <c r="M29" s="22" t="n"/>
    </row>
    <row r="30" ht="15" customHeight="1" s="12">
      <c r="A30" s="22" t="inlineStr">
        <is>
          <t>D4</t>
        </is>
      </c>
      <c r="B30" s="22" t="inlineStr">
        <is>
          <t>N4</t>
        </is>
      </c>
      <c r="C30" s="22" t="inlineStr">
        <is>
          <t>Z2</t>
        </is>
      </c>
      <c r="D30" s="22" t="inlineStr">
        <is>
          <t>server</t>
        </is>
      </c>
      <c r="E30" s="22" t="inlineStr">
        <is>
          <t>Web Server 02</t>
        </is>
      </c>
      <c r="F30" s="22" t="n">
        <v>1</v>
      </c>
      <c r="G30" s="22" t="n">
        <v>2</v>
      </c>
      <c r="H30" s="22" t="n"/>
      <c r="I30" s="22" t="n"/>
      <c r="J30" s="22">
        <f>IF(H30&lt;&gt;"",H30,MIN(260,MAX(VLOOKUP(D30,Shape_Library!$A:$H,7,0),LEN(E30)*7+24)))</f>
        <v/>
      </c>
      <c r="K30" s="22">
        <f>IF(I30&lt;&gt;"",I30,MAX(VLOOKUP(D30,Shape_Library!$A:$H,8,0),CEILING(LEN(E30)*7/(J30-24),1)*16+20))</f>
        <v/>
      </c>
      <c r="L30" s="22" t="n"/>
      <c r="M30" s="22" t="n"/>
    </row>
    <row r="31" ht="15" customHeight="1" s="12">
      <c r="A31" s="22" t="inlineStr">
        <is>
          <t>D4</t>
        </is>
      </c>
      <c r="B31" s="22" t="inlineStr">
        <is>
          <t>N5</t>
        </is>
      </c>
      <c r="C31" s="22" t="inlineStr">
        <is>
          <t>Z2</t>
        </is>
      </c>
      <c r="D31" s="22" t="inlineStr">
        <is>
          <t>database</t>
        </is>
      </c>
      <c r="E31" s="22" t="inlineStr">
        <is>
          <t>PostgreSQL Primary</t>
        </is>
      </c>
      <c r="F31" s="22" t="n">
        <v>2</v>
      </c>
      <c r="G31" s="22" t="n">
        <v>1</v>
      </c>
      <c r="H31" s="22" t="n"/>
      <c r="I31" s="22" t="n"/>
      <c r="J31" s="22">
        <f>IF(H31&lt;&gt;"",H31,MIN(260,MAX(VLOOKUP(D31,Shape_Library!$A:$H,7,0),LEN(E31)*7+24)))</f>
        <v/>
      </c>
      <c r="K31" s="22">
        <f>IF(I31&lt;&gt;"",I31,MAX(VLOOKUP(D31,Shape_Library!$A:$H,8,0),CEILING(LEN(E31)*7/(J31-24),1)*16+20))</f>
        <v/>
      </c>
      <c r="L31" s="22" t="n"/>
      <c r="M31" s="22" t="n"/>
    </row>
    <row r="32" ht="15" customHeight="1" s="12">
      <c r="A32" s="22" t="inlineStr">
        <is>
          <t>D5</t>
        </is>
      </c>
      <c r="B32" s="22" t="inlineStr">
        <is>
          <t>E1</t>
        </is>
      </c>
      <c r="C32" s="22" t="n"/>
      <c r="D32" s="22" t="inlineStr">
        <is>
          <t>entity</t>
        </is>
      </c>
      <c r="E32" s="22" t="inlineStr">
        <is>
          <t>CUSTOMER</t>
        </is>
      </c>
      <c r="F32" s="22" t="n">
        <v>1</v>
      </c>
      <c r="G32" s="22" t="n">
        <v>1</v>
      </c>
      <c r="H32" s="22" t="n"/>
      <c r="I32" s="22" t="n"/>
      <c r="J32" s="22">
        <f>IF(H32&lt;&gt;"",H32,MIN(260,MAX(VLOOKUP(D32,Shape_Library!$A:$H,7,0),LEN(E32)*7+24)))</f>
        <v/>
      </c>
      <c r="K32" s="22">
        <f>IF(I32&lt;&gt;"",I32,MAX(VLOOKUP(D32,Shape_Library!$A:$H,8,0),CEILING(LEN(E32)*7/(J32-24),1)*16+20))</f>
        <v/>
      </c>
      <c r="L32" s="22" t="n"/>
      <c r="M32" s="22" t="inlineStr">
        <is>
          <t>rows=id(PK);name;email;created_at</t>
        </is>
      </c>
    </row>
    <row r="33" ht="15" customHeight="1" s="12">
      <c r="A33" s="22" t="inlineStr">
        <is>
          <t>D5</t>
        </is>
      </c>
      <c r="B33" s="22" t="inlineStr">
        <is>
          <t>E2</t>
        </is>
      </c>
      <c r="C33" s="22" t="n"/>
      <c r="D33" s="22" t="inlineStr">
        <is>
          <t>entity</t>
        </is>
      </c>
      <c r="E33" s="22" t="inlineStr">
        <is>
          <t>ORDER</t>
        </is>
      </c>
      <c r="F33" s="22" t="n">
        <v>1</v>
      </c>
      <c r="G33" s="22" t="n">
        <v>2</v>
      </c>
      <c r="H33" s="22" t="n"/>
      <c r="I33" s="22" t="n"/>
      <c r="J33" s="22">
        <f>IF(H33&lt;&gt;"",H33,MIN(260,MAX(VLOOKUP(D33,Shape_Library!$A:$H,7,0),LEN(E33)*7+24)))</f>
        <v/>
      </c>
      <c r="K33" s="22">
        <f>IF(I33&lt;&gt;"",I33,MAX(VLOOKUP(D33,Shape_Library!$A:$H,8,0),CEILING(LEN(E33)*7/(J33-24),1)*16+20))</f>
        <v/>
      </c>
      <c r="L33" s="22" t="n"/>
      <c r="M33" s="22" t="inlineStr">
        <is>
          <t>rows=id(PK);customer_id(FK);status;total</t>
        </is>
      </c>
    </row>
    <row r="34" ht="15" customHeight="1" s="12">
      <c r="A34" s="22" t="inlineStr">
        <is>
          <t>D5</t>
        </is>
      </c>
      <c r="B34" s="22" t="inlineStr">
        <is>
          <t>E3</t>
        </is>
      </c>
      <c r="C34" s="22" t="n"/>
      <c r="D34" s="22" t="inlineStr">
        <is>
          <t>entity</t>
        </is>
      </c>
      <c r="E34" s="22" t="inlineStr">
        <is>
          <t>ORDER_ITEM</t>
        </is>
      </c>
      <c r="F34" s="22" t="n">
        <v>2</v>
      </c>
      <c r="G34" s="22" t="n">
        <v>2</v>
      </c>
      <c r="H34" s="22" t="n"/>
      <c r="I34" s="22" t="n"/>
      <c r="J34" s="22">
        <f>IF(H34&lt;&gt;"",H34,MIN(260,MAX(VLOOKUP(D34,Shape_Library!$A:$H,7,0),LEN(E34)*7+24)))</f>
        <v/>
      </c>
      <c r="K34" s="22">
        <f>IF(I34&lt;&gt;"",I34,MAX(VLOOKUP(D34,Shape_Library!$A:$H,8,0),CEILING(LEN(E34)*7/(J34-24),1)*16+20))</f>
        <v/>
      </c>
      <c r="L34" s="22" t="n"/>
      <c r="M34" s="22" t="inlineStr">
        <is>
          <t>rows=id(PK);order_id(FK);product_id(FK);qty</t>
        </is>
      </c>
    </row>
    <row r="35" ht="15" customHeight="1" s="12">
      <c r="A35" s="22" t="inlineStr">
        <is>
          <t>D5</t>
        </is>
      </c>
      <c r="B35" s="22" t="inlineStr">
        <is>
          <t>E4</t>
        </is>
      </c>
      <c r="C35" s="22" t="n"/>
      <c r="D35" s="22" t="inlineStr">
        <is>
          <t>entity</t>
        </is>
      </c>
      <c r="E35" s="22" t="inlineStr">
        <is>
          <t>PRODUCT</t>
        </is>
      </c>
      <c r="F35" s="22" t="n">
        <v>2</v>
      </c>
      <c r="G35" s="22" t="n">
        <v>1</v>
      </c>
      <c r="H35" s="22" t="n"/>
      <c r="I35" s="22" t="n"/>
      <c r="J35" s="22">
        <f>IF(H35&lt;&gt;"",H35,MIN(260,MAX(VLOOKUP(D35,Shape_Library!$A:$H,7,0),LEN(E35)*7+24)))</f>
        <v/>
      </c>
      <c r="K35" s="22">
        <f>IF(I35&lt;&gt;"",I35,MAX(VLOOKUP(D35,Shape_Library!$A:$H,8,0),CEILING(LEN(E35)*7/(J35-24),1)*16+20))</f>
        <v/>
      </c>
      <c r="L35" s="22" t="n"/>
      <c r="M35" s="22" t="inlineStr">
        <is>
          <t>rows=id(PK);sku;name;price</t>
        </is>
      </c>
    </row>
  </sheetData>
  <autoFilter ref="A1:M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9" customWidth="1" style="11" min="2" max="2"/>
    <col width="10" customWidth="1" style="11" min="3" max="4"/>
    <col width="18" customWidth="1" style="11" min="5" max="5"/>
    <col width="14" customWidth="1" style="11" min="6" max="7"/>
    <col width="38" customWidth="1" style="11" min="8" max="8"/>
  </cols>
  <sheetData>
    <row r="1" ht="23.85" customHeight="1" s="12">
      <c r="A1" s="16" t="inlineStr">
        <is>
          <t>diagram_id</t>
        </is>
      </c>
      <c r="B1" s="16" t="inlineStr">
        <is>
          <t>edge_id</t>
        </is>
      </c>
      <c r="C1" s="16" t="inlineStr">
        <is>
          <t>source_id</t>
        </is>
      </c>
      <c r="D1" s="16" t="inlineStr">
        <is>
          <t>target_id</t>
        </is>
      </c>
      <c r="E1" s="16" t="inlineStr">
        <is>
          <t>relation_type</t>
        </is>
      </c>
      <c r="F1" s="16" t="inlineStr">
        <is>
          <t>label</t>
        </is>
      </c>
      <c r="G1" s="16" t="inlineStr">
        <is>
          <t>waypoint_hint</t>
        </is>
      </c>
      <c r="H1" s="16" t="inlineStr">
        <is>
          <t>notes</t>
        </is>
      </c>
    </row>
    <row r="2" ht="15" customHeight="1" s="12">
      <c r="A2" s="22" t="inlineStr">
        <is>
          <t>D1</t>
        </is>
      </c>
      <c r="B2" s="22" t="inlineStr">
        <is>
          <t>e1</t>
        </is>
      </c>
      <c r="C2" s="22" t="inlineStr">
        <is>
          <t>A1</t>
        </is>
      </c>
      <c r="D2" s="22" t="inlineStr">
        <is>
          <t>B1</t>
        </is>
      </c>
      <c r="E2" s="22" t="inlineStr">
        <is>
          <t>serving</t>
        </is>
      </c>
      <c r="F2" s="22" t="n"/>
      <c r="G2" s="22" t="n"/>
      <c r="H2" s="22" t="inlineStr">
        <is>
          <t>App serves business process</t>
        </is>
      </c>
    </row>
    <row r="3" ht="15" customHeight="1" s="12">
      <c r="A3" s="22" t="inlineStr">
        <is>
          <t>D1</t>
        </is>
      </c>
      <c r="B3" s="22" t="inlineStr">
        <is>
          <t>e2</t>
        </is>
      </c>
      <c r="C3" s="22" t="inlineStr">
        <is>
          <t>A3</t>
        </is>
      </c>
      <c r="D3" s="22" t="inlineStr">
        <is>
          <t>B1</t>
        </is>
      </c>
      <c r="E3" s="22" t="inlineStr">
        <is>
          <t>serving</t>
        </is>
      </c>
      <c r="F3" s="22" t="n"/>
      <c r="G3" s="22" t="n"/>
      <c r="H3" s="22" t="n"/>
    </row>
    <row r="4" ht="15" customHeight="1" s="12">
      <c r="A4" s="22" t="inlineStr">
        <is>
          <t>D1</t>
        </is>
      </c>
      <c r="B4" s="22" t="inlineStr">
        <is>
          <t>e3</t>
        </is>
      </c>
      <c r="C4" s="22" t="inlineStr">
        <is>
          <t>A1</t>
        </is>
      </c>
      <c r="D4" s="22" t="inlineStr">
        <is>
          <t>A3</t>
        </is>
      </c>
      <c r="E4" s="22" t="inlineStr">
        <is>
          <t>realization</t>
        </is>
      </c>
      <c r="F4" s="22" t="n"/>
      <c r="G4" s="22" t="n"/>
      <c r="H4" s="22" t="inlineStr">
        <is>
          <t>Component realizes service</t>
        </is>
      </c>
    </row>
    <row r="5" ht="15" customHeight="1" s="12">
      <c r="A5" s="22" t="inlineStr">
        <is>
          <t>D1</t>
        </is>
      </c>
      <c r="B5" s="22" t="inlineStr">
        <is>
          <t>e4</t>
        </is>
      </c>
      <c r="C5" s="22" t="inlineStr">
        <is>
          <t>A2</t>
        </is>
      </c>
      <c r="D5" s="22" t="inlineStr">
        <is>
          <t>B2</t>
        </is>
      </c>
      <c r="E5" s="22" t="inlineStr">
        <is>
          <t>serving</t>
        </is>
      </c>
      <c r="F5" s="22" t="n"/>
      <c r="G5" s="22" t="n"/>
      <c r="H5" s="22" t="n"/>
    </row>
    <row r="6" ht="15" customHeight="1" s="12">
      <c r="A6" s="22" t="inlineStr">
        <is>
          <t>D1</t>
        </is>
      </c>
      <c r="B6" s="22" t="inlineStr">
        <is>
          <t>e5</t>
        </is>
      </c>
      <c r="C6" s="22" t="inlineStr">
        <is>
          <t>T1</t>
        </is>
      </c>
      <c r="D6" s="22" t="inlineStr">
        <is>
          <t>A1</t>
        </is>
      </c>
      <c r="E6" s="22" t="inlineStr">
        <is>
          <t>assignment</t>
        </is>
      </c>
      <c r="F6" s="22" t="n"/>
      <c r="G6" s="22" t="n"/>
      <c r="H6" s="22" t="inlineStr">
        <is>
          <t>Cluster hosts platform</t>
        </is>
      </c>
    </row>
    <row r="7" ht="15" customHeight="1" s="12">
      <c r="A7" s="22" t="inlineStr">
        <is>
          <t>D1</t>
        </is>
      </c>
      <c r="B7" s="22" t="inlineStr">
        <is>
          <t>e6</t>
        </is>
      </c>
      <c r="C7" s="22" t="inlineStr">
        <is>
          <t>T2</t>
        </is>
      </c>
      <c r="D7" s="22" t="inlineStr">
        <is>
          <t>A2</t>
        </is>
      </c>
      <c r="E7" s="22" t="inlineStr">
        <is>
          <t>assignment</t>
        </is>
      </c>
      <c r="F7" s="22" t="n"/>
      <c r="G7" s="22" t="n"/>
      <c r="H7" s="22" t="n"/>
    </row>
    <row r="8" ht="15" customHeight="1" s="12">
      <c r="A8" s="22" t="inlineStr">
        <is>
          <t>D2</t>
        </is>
      </c>
      <c r="B8" s="22" t="inlineStr">
        <is>
          <t>e7</t>
        </is>
      </c>
      <c r="C8" s="22" t="inlineStr">
        <is>
          <t>F1</t>
        </is>
      </c>
      <c r="D8" s="22" t="inlineStr">
        <is>
          <t>F2</t>
        </is>
      </c>
      <c r="E8" s="22" t="inlineStr">
        <is>
          <t>sequence_flow</t>
        </is>
      </c>
      <c r="F8" s="22" t="n"/>
      <c r="G8" s="22" t="n"/>
      <c r="H8" s="22" t="n"/>
    </row>
    <row r="9" ht="15" customHeight="1" s="12">
      <c r="A9" s="22" t="inlineStr">
        <is>
          <t>D2</t>
        </is>
      </c>
      <c r="B9" s="22" t="inlineStr">
        <is>
          <t>e8</t>
        </is>
      </c>
      <c r="C9" s="22" t="inlineStr">
        <is>
          <t>F2</t>
        </is>
      </c>
      <c r="D9" s="22" t="inlineStr">
        <is>
          <t>F3</t>
        </is>
      </c>
      <c r="E9" s="22" t="inlineStr">
        <is>
          <t>sequence_flow</t>
        </is>
      </c>
      <c r="F9" s="22" t="n"/>
      <c r="G9" s="22" t="n"/>
      <c r="H9" s="22" t="n"/>
    </row>
    <row r="10" ht="15" customHeight="1" s="12">
      <c r="A10" s="22" t="inlineStr">
        <is>
          <t>D2</t>
        </is>
      </c>
      <c r="B10" s="22" t="inlineStr">
        <is>
          <t>e9</t>
        </is>
      </c>
      <c r="C10" s="22" t="inlineStr">
        <is>
          <t>F3</t>
        </is>
      </c>
      <c r="D10" s="22" t="inlineStr">
        <is>
          <t>F4</t>
        </is>
      </c>
      <c r="E10" s="22" t="inlineStr">
        <is>
          <t>sequence_flow</t>
        </is>
      </c>
      <c r="F10" s="22" t="inlineStr">
        <is>
          <t>Yes</t>
        </is>
      </c>
      <c r="G10" s="22" t="n"/>
      <c r="H10" s="22" t="inlineStr">
        <is>
          <t>Approved branch</t>
        </is>
      </c>
    </row>
    <row r="11" ht="15" customHeight="1" s="12">
      <c r="A11" s="22" t="inlineStr">
        <is>
          <t>D2</t>
        </is>
      </c>
      <c r="B11" s="22" t="inlineStr">
        <is>
          <t>e10</t>
        </is>
      </c>
      <c r="C11" s="22" t="inlineStr">
        <is>
          <t>F3</t>
        </is>
      </c>
      <c r="D11" s="22" t="inlineStr">
        <is>
          <t>F5</t>
        </is>
      </c>
      <c r="E11" s="22" t="inlineStr">
        <is>
          <t>sequence_flow</t>
        </is>
      </c>
      <c r="F11" s="22" t="inlineStr">
        <is>
          <t>No</t>
        </is>
      </c>
      <c r="G11" s="22" t="inlineStr">
        <is>
          <t>route:right</t>
        </is>
      </c>
      <c r="H11" s="22" t="inlineStr">
        <is>
          <t>Rejected branch</t>
        </is>
      </c>
    </row>
    <row r="12" ht="15" customHeight="1" s="12">
      <c r="A12" s="22" t="inlineStr">
        <is>
          <t>D2</t>
        </is>
      </c>
      <c r="B12" s="22" t="inlineStr">
        <is>
          <t>e11</t>
        </is>
      </c>
      <c r="C12" s="22" t="inlineStr">
        <is>
          <t>F4</t>
        </is>
      </c>
      <c r="D12" s="22" t="inlineStr">
        <is>
          <t>F6</t>
        </is>
      </c>
      <c r="E12" s="22" t="inlineStr">
        <is>
          <t>sequence_flow</t>
        </is>
      </c>
      <c r="F12" s="22" t="n"/>
      <c r="G12" s="22" t="n"/>
      <c r="H12" s="22" t="n"/>
    </row>
    <row r="13" ht="15" customHeight="1" s="12">
      <c r="A13" s="22" t="inlineStr">
        <is>
          <t>D2</t>
        </is>
      </c>
      <c r="B13" s="22" t="inlineStr">
        <is>
          <t>e12</t>
        </is>
      </c>
      <c r="C13" s="22" t="inlineStr">
        <is>
          <t>F6</t>
        </is>
      </c>
      <c r="D13" s="22" t="inlineStr">
        <is>
          <t>F7</t>
        </is>
      </c>
      <c r="E13" s="22" t="inlineStr">
        <is>
          <t>sequence_flow</t>
        </is>
      </c>
      <c r="F13" s="22" t="n"/>
      <c r="G13" s="22" t="n"/>
      <c r="H13" s="22" t="n"/>
    </row>
    <row r="14" ht="15" customHeight="1" s="12">
      <c r="A14" s="22" t="inlineStr">
        <is>
          <t>D2</t>
        </is>
      </c>
      <c r="B14" s="22" t="inlineStr">
        <is>
          <t>e13</t>
        </is>
      </c>
      <c r="C14" s="22" t="inlineStr">
        <is>
          <t>F5</t>
        </is>
      </c>
      <c r="D14" s="22" t="inlineStr">
        <is>
          <t>F7</t>
        </is>
      </c>
      <c r="E14" s="22" t="inlineStr">
        <is>
          <t>sequence_flow</t>
        </is>
      </c>
      <c r="F14" s="22" t="n"/>
      <c r="G14" s="22" t="inlineStr">
        <is>
          <t>route:right</t>
        </is>
      </c>
      <c r="H14" s="22" t="inlineStr">
        <is>
          <t>Merge to end</t>
        </is>
      </c>
    </row>
    <row r="15" ht="15" customHeight="1" s="12">
      <c r="A15" s="22" t="inlineStr">
        <is>
          <t>D3</t>
        </is>
      </c>
      <c r="B15" s="22" t="inlineStr">
        <is>
          <t>e14</t>
        </is>
      </c>
      <c r="C15" s="22" t="inlineStr">
        <is>
          <t>P2</t>
        </is>
      </c>
      <c r="D15" s="22" t="inlineStr">
        <is>
          <t>P1</t>
        </is>
      </c>
      <c r="E15" s="22" t="inlineStr">
        <is>
          <t>reports_to</t>
        </is>
      </c>
      <c r="F15" s="22" t="n"/>
      <c r="G15" s="22" t="n"/>
      <c r="H15" s="22" t="n"/>
    </row>
    <row r="16" ht="15" customHeight="1" s="12">
      <c r="A16" s="22" t="inlineStr">
        <is>
          <t>D3</t>
        </is>
      </c>
      <c r="B16" s="22" t="inlineStr">
        <is>
          <t>e15</t>
        </is>
      </c>
      <c r="C16" s="22" t="inlineStr">
        <is>
          <t>P3</t>
        </is>
      </c>
      <c r="D16" s="22" t="inlineStr">
        <is>
          <t>P1</t>
        </is>
      </c>
      <c r="E16" s="22" t="inlineStr">
        <is>
          <t>reports_to</t>
        </is>
      </c>
      <c r="F16" s="22" t="n"/>
      <c r="G16" s="22" t="n"/>
      <c r="H16" s="22" t="n"/>
    </row>
    <row r="17" ht="15" customHeight="1" s="12">
      <c r="A17" s="22" t="inlineStr">
        <is>
          <t>D3</t>
        </is>
      </c>
      <c r="B17" s="22" t="inlineStr">
        <is>
          <t>e16</t>
        </is>
      </c>
      <c r="C17" s="22" t="inlineStr">
        <is>
          <t>P4</t>
        </is>
      </c>
      <c r="D17" s="22" t="inlineStr">
        <is>
          <t>P2</t>
        </is>
      </c>
      <c r="E17" s="22" t="inlineStr">
        <is>
          <t>reports_to</t>
        </is>
      </c>
      <c r="F17" s="22" t="n"/>
      <c r="G17" s="22" t="n"/>
      <c r="H17" s="22" t="n"/>
    </row>
    <row r="18" ht="15" customHeight="1" s="12">
      <c r="A18" s="22" t="inlineStr">
        <is>
          <t>D3</t>
        </is>
      </c>
      <c r="B18" s="22" t="inlineStr">
        <is>
          <t>e17</t>
        </is>
      </c>
      <c r="C18" s="22" t="inlineStr">
        <is>
          <t>P5</t>
        </is>
      </c>
      <c r="D18" s="22" t="inlineStr">
        <is>
          <t>P3</t>
        </is>
      </c>
      <c r="E18" s="22" t="inlineStr">
        <is>
          <t>reports_to</t>
        </is>
      </c>
      <c r="F18" s="22" t="n"/>
      <c r="G18" s="22" t="n"/>
      <c r="H18" s="22" t="n"/>
    </row>
    <row r="19" ht="15" customHeight="1" s="12">
      <c r="A19" s="22" t="inlineStr">
        <is>
          <t>D3</t>
        </is>
      </c>
      <c r="B19" s="22" t="inlineStr">
        <is>
          <t>e18</t>
        </is>
      </c>
      <c r="C19" s="22" t="inlineStr">
        <is>
          <t>P4</t>
        </is>
      </c>
      <c r="D19" s="22" t="inlineStr">
        <is>
          <t>P3</t>
        </is>
      </c>
      <c r="E19" s="22" t="inlineStr">
        <is>
          <t>dotted_reporting</t>
        </is>
      </c>
      <c r="F19" s="22" t="inlineStr">
        <is>
          <t>project lead</t>
        </is>
      </c>
      <c r="G19" s="22" t="n"/>
      <c r="H19" s="22" t="inlineStr">
        <is>
          <t>Matrix line</t>
        </is>
      </c>
    </row>
    <row r="20" ht="15" customHeight="1" s="12">
      <c r="A20" s="22" t="inlineStr">
        <is>
          <t>D4</t>
        </is>
      </c>
      <c r="B20" s="22" t="inlineStr">
        <is>
          <t>e19</t>
        </is>
      </c>
      <c r="C20" s="22" t="inlineStr">
        <is>
          <t>N0</t>
        </is>
      </c>
      <c r="D20" s="22" t="inlineStr">
        <is>
          <t>N1</t>
        </is>
      </c>
      <c r="E20" s="22" t="inlineStr">
        <is>
          <t>physical_link</t>
        </is>
      </c>
      <c r="F20" s="22" t="inlineStr">
        <is>
          <t>WAN</t>
        </is>
      </c>
      <c r="G20" s="22" t="n"/>
      <c r="H20" s="22" t="n"/>
    </row>
    <row r="21" ht="15" customHeight="1" s="12">
      <c r="A21" s="22" t="inlineStr">
        <is>
          <t>D4</t>
        </is>
      </c>
      <c r="B21" s="22" t="inlineStr">
        <is>
          <t>e20</t>
        </is>
      </c>
      <c r="C21" s="22" t="inlineStr">
        <is>
          <t>N1</t>
        </is>
      </c>
      <c r="D21" s="22" t="inlineStr">
        <is>
          <t>N2</t>
        </is>
      </c>
      <c r="E21" s="22" t="inlineStr">
        <is>
          <t>physical_link</t>
        </is>
      </c>
      <c r="F21" s="22" t="n"/>
      <c r="G21" s="22" t="n"/>
      <c r="H21" s="22" t="n"/>
    </row>
    <row r="22" ht="15" customHeight="1" s="12">
      <c r="A22" s="22" t="inlineStr">
        <is>
          <t>D4</t>
        </is>
      </c>
      <c r="B22" s="22" t="inlineStr">
        <is>
          <t>e21</t>
        </is>
      </c>
      <c r="C22" s="22" t="inlineStr">
        <is>
          <t>N2</t>
        </is>
      </c>
      <c r="D22" s="22" t="inlineStr">
        <is>
          <t>N3</t>
        </is>
      </c>
      <c r="E22" s="22" t="inlineStr">
        <is>
          <t>physical_link</t>
        </is>
      </c>
      <c r="F22" s="22" t="inlineStr">
        <is>
          <t>HTTP:80</t>
        </is>
      </c>
      <c r="G22" s="22" t="n"/>
      <c r="H22" s="22" t="n"/>
    </row>
    <row r="23" ht="15" customHeight="1" s="12">
      <c r="A23" s="22" t="inlineStr">
        <is>
          <t>D4</t>
        </is>
      </c>
      <c r="B23" s="22" t="inlineStr">
        <is>
          <t>e22</t>
        </is>
      </c>
      <c r="C23" s="22" t="inlineStr">
        <is>
          <t>N2</t>
        </is>
      </c>
      <c r="D23" s="22" t="inlineStr">
        <is>
          <t>N4</t>
        </is>
      </c>
      <c r="E23" s="22" t="inlineStr">
        <is>
          <t>physical_link</t>
        </is>
      </c>
      <c r="F23" s="22" t="inlineStr">
        <is>
          <t>HTTP:80</t>
        </is>
      </c>
      <c r="G23" s="22" t="n"/>
      <c r="H23" s="22" t="inlineStr">
        <is>
          <t>Parallel edge → 8px offset (SZ-12)</t>
        </is>
      </c>
    </row>
    <row r="24" ht="15" customHeight="1" s="12">
      <c r="A24" s="22" t="inlineStr">
        <is>
          <t>D4</t>
        </is>
      </c>
      <c r="B24" s="22" t="inlineStr">
        <is>
          <t>e23</t>
        </is>
      </c>
      <c r="C24" s="22" t="inlineStr">
        <is>
          <t>N3</t>
        </is>
      </c>
      <c r="D24" s="22" t="inlineStr">
        <is>
          <t>N5</t>
        </is>
      </c>
      <c r="E24" s="22" t="inlineStr">
        <is>
          <t>logical_link</t>
        </is>
      </c>
      <c r="F24" s="22" t="inlineStr">
        <is>
          <t>SQL</t>
        </is>
      </c>
      <c r="G24" s="22" t="n"/>
      <c r="H24" s="22" t="n"/>
    </row>
    <row r="25" ht="15" customHeight="1" s="12">
      <c r="A25" s="22" t="inlineStr">
        <is>
          <t>D4</t>
        </is>
      </c>
      <c r="B25" s="22" t="inlineStr">
        <is>
          <t>e24</t>
        </is>
      </c>
      <c r="C25" s="22" t="inlineStr">
        <is>
          <t>N4</t>
        </is>
      </c>
      <c r="D25" s="22" t="inlineStr">
        <is>
          <t>N5</t>
        </is>
      </c>
      <c r="E25" s="22" t="inlineStr">
        <is>
          <t>logical_link</t>
        </is>
      </c>
      <c r="F25" s="22" t="inlineStr">
        <is>
          <t>SQL</t>
        </is>
      </c>
      <c r="G25" s="22" t="n"/>
      <c r="H25" s="22" t="n"/>
    </row>
    <row r="26" ht="15" customHeight="1" s="12">
      <c r="A26" s="22" t="inlineStr">
        <is>
          <t>D5</t>
        </is>
      </c>
      <c r="B26" s="22" t="inlineStr">
        <is>
          <t>e25</t>
        </is>
      </c>
      <c r="C26" s="22" t="inlineStr">
        <is>
          <t>E1</t>
        </is>
      </c>
      <c r="D26" s="22" t="inlineStr">
        <is>
          <t>E2</t>
        </is>
      </c>
      <c r="E26" s="22" t="inlineStr">
        <is>
          <t>one_to_many</t>
        </is>
      </c>
      <c r="F26" s="22" t="inlineStr">
        <is>
          <t>1 : N</t>
        </is>
      </c>
      <c r="G26" s="22" t="n"/>
      <c r="H26" s="22" t="inlineStr">
        <is>
          <t>Customer places orders</t>
        </is>
      </c>
    </row>
    <row r="27" ht="15" customHeight="1" s="12">
      <c r="A27" s="22" t="inlineStr">
        <is>
          <t>D5</t>
        </is>
      </c>
      <c r="B27" s="22" t="inlineStr">
        <is>
          <t>e26</t>
        </is>
      </c>
      <c r="C27" s="22" t="inlineStr">
        <is>
          <t>E2</t>
        </is>
      </c>
      <c r="D27" s="22" t="inlineStr">
        <is>
          <t>E3</t>
        </is>
      </c>
      <c r="E27" s="22" t="inlineStr">
        <is>
          <t>one_to_many</t>
        </is>
      </c>
      <c r="F27" s="22" t="inlineStr">
        <is>
          <t>1 : N</t>
        </is>
      </c>
      <c r="G27" s="22" t="n"/>
      <c r="H27" s="22" t="n"/>
    </row>
    <row r="28" ht="15" customHeight="1" s="12">
      <c r="A28" s="22" t="inlineStr">
        <is>
          <t>D5</t>
        </is>
      </c>
      <c r="B28" s="22" t="inlineStr">
        <is>
          <t>e27</t>
        </is>
      </c>
      <c r="C28" s="22" t="inlineStr">
        <is>
          <t>E4</t>
        </is>
      </c>
      <c r="D28" s="22" t="inlineStr">
        <is>
          <t>E3</t>
        </is>
      </c>
      <c r="E28" s="22" t="inlineStr">
        <is>
          <t>one_to_many</t>
        </is>
      </c>
      <c r="F28" s="22" t="inlineStr">
        <is>
          <t>1 : N</t>
        </is>
      </c>
      <c r="G28" s="22" t="n"/>
      <c r="H28" s="22" t="n"/>
    </row>
  </sheetData>
  <autoFilter ref="A1:H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2026-07-02T10:08:24Z</dcterms:created>
  <dcterms:modified xmlns:dcterms="http://purl.org/dc/terms/" xmlns:xsi="http://www.w3.org/2001/XMLSchema-instance" xsi:type="dcterms:W3CDTF">2026-09-07T10:34:32Z</dcterms:modified>
  <cp:revision>0</cp:revision>
</cp:coreProperties>
</file>