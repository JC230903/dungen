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cenario_Catalog" sheetId="2" state="visible" r:id="rId4"/>
    <sheet name="Shape_Library" sheetId="3" state="visible" r:id="rId5"/>
    <sheet name="Line_Rules" sheetId="4" state="visible" r:id="rId6"/>
    <sheet name="Sizing_Layout" sheetId="5" state="visible" r:id="rId7"/>
    <sheet name="Diagrams" sheetId="6" state="visible" r:id="rId8"/>
    <sheet name="Nodes" sheetId="7" state="visible" r:id="rId9"/>
    <sheet name="Edges" sheetId="8" state="visible" r:id="rId10"/>
  </sheets>
  <definedNames>
    <definedName function="false" hidden="true" localSheetId="5" name="_xlnm._FilterDatabase" vbProcedure="false">Diagrams!$A$1:$F$6</definedName>
    <definedName function="false" hidden="true" localSheetId="7" name="_xlnm._FilterDatabase" vbProcedure="false">Edges!$A$1:$H$28</definedName>
    <definedName function="false" hidden="true" localSheetId="3" name="_xlnm._FilterDatabase" vbProcedure="false">Line_Rules!$A$1:$J$22</definedName>
    <definedName function="false" hidden="true" localSheetId="6" name="_xlnm._FilterDatabase" vbProcedure="false">Nodes!$A$1:$M$35</definedName>
    <definedName function="false" hidden="true" localSheetId="1" name="_xlnm._FilterDatabase" vbProcedure="false">Scenario_Catalog!$A$1:$I$14</definedName>
    <definedName function="false" hidden="true" localSheetId="2" name="_xlnm._FilterDatabase" vbProcedure="false">Shape_Library!$A$1:$L$41</definedName>
    <definedName function="false" hidden="true" localSheetId="4" name="_xlnm._FilterDatabase" vbProcedure="false">Sizing_Layout!$A$1:$E$17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<sst xmlns="http://schemas.openxmlformats.org/spreadsheetml/2006/main" count="1117" uniqueCount="604">
  <si>
    <t xml:space="preserve">Diagram Automation — CSV Data Specification</t>
  </si>
  <si>
    <t xml:space="preserve">Purpose</t>
  </si>
  <si>
    <t xml:space="preserve">Define one universal, tool-agnostic data format (CSV/Excel) from which a custom renderer can generate diagrams automatically. One schema covers EA/ArchiMate models, flowcharts &amp; swimlanes, org charts, network/deployment diagrams, and ERDs.</t>
  </si>
  <si>
    <t xml:space="preserve">Pipeline</t>
  </si>
  <si>
    <t xml:space="preserve">1) Author data in Nodes + Edges sheets (or CSVs)  →  2) Renderer resolves entity_type via Shape_Library and relation_type via Line_Rules  →  3) Sizing engine computes W×H per node (Sizing_Layout rules)  →  4) Layout engine picks algorithm from Scenario_Catalog  →  5) Output SVG / draw.io XML / PNG.</t>
  </si>
  <si>
    <t xml:space="preserve">Sheet guide</t>
  </si>
  <si>
    <t xml:space="preserve">Scenario_Catalog</t>
  </si>
  <si>
    <t xml:space="preserve">Every diagram scenario identified, with the layout algorithm and key challenge for each.</t>
  </si>
  <si>
    <t xml:space="preserve">Shape_Library</t>
  </si>
  <si>
    <t xml:space="preserve">Entity type → shape, default size, colors. This solves "which shape to use".</t>
  </si>
  <si>
    <t xml:space="preserve">Line_Rules</t>
  </si>
  <si>
    <t xml:space="preserve">Relationship type → line style, arrowheads, routing. This solves "which line to use".</t>
  </si>
  <si>
    <t xml:space="preserve">Sizing_Layout</t>
  </si>
  <si>
    <t xml:space="preserve">Auto-sizing formulas and spacing constants. This solves the sizing/shaping challenge.</t>
  </si>
  <si>
    <t xml:space="preserve">Diagrams</t>
  </si>
  <si>
    <t xml:space="preserve">Registry of sample diagrams (one row = one output file).</t>
  </si>
  <si>
    <t xml:space="preserve">Nodes</t>
  </si>
  <si>
    <t xml:space="preserve">Sample node data for 5 demo diagrams. computed_w/computed_h are LIVE Excel formulas implementing the sizing rules.</t>
  </si>
  <si>
    <t xml:space="preserve">Edges</t>
  </si>
  <si>
    <t xml:space="preserve">Sample edge data for the same demo diagrams.</t>
  </si>
  <si>
    <t xml:space="preserve">Design principles</t>
  </si>
  <si>
    <t xml:space="preserve">Separation of data (Nodes/Edges) from presentation (rule sheets): business users only fill 6–8 columns; the renderer owns geometry. Nesting via parent_id gives containers (layers, swimlanes, zones) for free. Overrides (w_override, fill_override) allow exceptions without breaking automation.</t>
  </si>
  <si>
    <t xml:space="preserve">scenario_id</t>
  </si>
  <si>
    <t xml:space="preserve">family</t>
  </si>
  <si>
    <t xml:space="preserve">scenario_name</t>
  </si>
  <si>
    <t xml:space="preserve">description / when used</t>
  </si>
  <si>
    <t xml:space="preserve">typical_entities</t>
  </si>
  <si>
    <t xml:space="preserve">typical_relations</t>
  </si>
  <si>
    <t xml:space="preserve">layout_algorithm</t>
  </si>
  <si>
    <t xml:space="preserve">containers?</t>
  </si>
  <si>
    <t xml:space="preserve">key_challenge</t>
  </si>
  <si>
    <t xml:space="preserve">EA-01</t>
  </si>
  <si>
    <t xml:space="preserve">EA</t>
  </si>
  <si>
    <t xml:space="preserve">ArchiMate layered view</t>
  </si>
  <si>
    <t xml:space="preserve">Business / Application / Technology stack view of an enterprise; the classic EA deliverable.</t>
  </si>
  <si>
    <t xml:space="preserve">business_process, application_component, node, services</t>
  </si>
  <si>
    <t xml:space="preserve">serving, realization, assignment</t>
  </si>
  <si>
    <t xml:space="preserve">Horizontal layer bands; grid placement inside each band</t>
  </si>
  <si>
    <t xml:space="preserve">Yes (layer bands)</t>
  </si>
  <si>
    <t xml:space="preserve">Keeping cross-layer edges vertical and readable</t>
  </si>
  <si>
    <t xml:space="preserve">EA-02</t>
  </si>
  <si>
    <t xml:space="preserve">Capability map</t>
  </si>
  <si>
    <t xml:space="preserve">Nested business capabilities L1→L3 shown as tiles inside tiles.</t>
  </si>
  <si>
    <t xml:space="preserve">capability</t>
  </si>
  <si>
    <t xml:space="preserve">composition (implicit via nesting)</t>
  </si>
  <si>
    <t xml:space="preserve">Nested grid (treemap-like), fixed columns per level</t>
  </si>
  <si>
    <t xml:space="preserve">Yes (nested)</t>
  </si>
  <si>
    <t xml:space="preserve">Auto-sizing parents to fit children exactly</t>
  </si>
  <si>
    <t xml:space="preserve">EA-03</t>
  </si>
  <si>
    <t xml:space="preserve">Application landscape</t>
  </si>
  <si>
    <t xml:space="preserve">All applications grouped by domain, colored by lifecycle status.</t>
  </si>
  <si>
    <t xml:space="preserve">application_component, group</t>
  </si>
  <si>
    <t xml:space="preserve">flow (data exchanges) optional</t>
  </si>
  <si>
    <t xml:space="preserve">Grouped grid; groups ordered by domain</t>
  </si>
  <si>
    <t xml:space="preserve">Yes (domain groups)</t>
  </si>
  <si>
    <t xml:space="preserve">Conditional color coding from data attributes</t>
  </si>
  <si>
    <t xml:space="preserve">EA-04</t>
  </si>
  <si>
    <t xml:space="preserve">Metamodel / concept map</t>
  </si>
  <si>
    <t xml:space="preserve">Concepts and their allowed relationships (like the EAF metamodel on screen).</t>
  </si>
  <si>
    <t xml:space="preserve">all ArchiMate types</t>
  </si>
  <si>
    <t xml:space="preserve">all relation types + labels</t>
  </si>
  <si>
    <t xml:space="preserve">Orthogonal / force-directed with layer background zones</t>
  </si>
  <si>
    <t xml:space="preserve">Optional</t>
  </si>
  <si>
    <t xml:space="preserve">Many edge crossings; needs orthogonal routing + label placement</t>
  </si>
  <si>
    <t xml:space="preserve">FL-01</t>
  </si>
  <si>
    <t xml:space="preserve">Flowchart</t>
  </si>
  <si>
    <t xml:space="preserve">Basic flowchart</t>
  </si>
  <si>
    <t xml:space="preserve">Step-by-step process with decisions and terminators.</t>
  </si>
  <si>
    <t xml:space="preserve">start_end, process, decision, data_io, document</t>
  </si>
  <si>
    <t xml:space="preserve">sequence_flow (with yes/no labels)</t>
  </si>
  <si>
    <t xml:space="preserve">Sugiyama layered, top-to-bottom; decision branches left/right</t>
  </si>
  <si>
    <t xml:space="preserve">No</t>
  </si>
  <si>
    <t xml:space="preserve">Branch/merge symmetry; diamond aspect ratio vs label length</t>
  </si>
  <si>
    <t xml:space="preserve">FL-02</t>
  </si>
  <si>
    <t xml:space="preserve">Swimlane / cross-functional</t>
  </si>
  <si>
    <t xml:space="preserve">Process steps assigned to roles or departments in lanes.</t>
  </si>
  <si>
    <t xml:space="preserve">lane + flowchart shapes</t>
  </si>
  <si>
    <t xml:space="preserve">sequence_flow, message_flow</t>
  </si>
  <si>
    <t xml:space="preserve">Ranked flow constrained to lane columns/rows</t>
  </si>
  <si>
    <t xml:space="preserve">Yes (lanes)</t>
  </si>
  <si>
    <t xml:space="preserve">Lane height driven by busiest lane; edges crossing lanes</t>
  </si>
  <si>
    <t xml:space="preserve">FL-03</t>
  </si>
  <si>
    <t xml:space="preserve">Decision tree</t>
  </si>
  <si>
    <t xml:space="preserve">Branching logic, each path ends in an outcome.</t>
  </si>
  <si>
    <t xml:space="preserve">decision, process, start_end</t>
  </si>
  <si>
    <t xml:space="preserve">sequence_flow (labelled)</t>
  </si>
  <si>
    <t xml:space="preserve">Tree layout, top-down, balanced subtrees</t>
  </si>
  <si>
    <t xml:space="preserve">Width explosion at deep levels; needs subtree compaction</t>
  </si>
  <si>
    <t xml:space="preserve">OR-01</t>
  </si>
  <si>
    <t xml:space="preserve">OrgChart</t>
  </si>
  <si>
    <t xml:space="preserve">Org chart / hierarchy</t>
  </si>
  <si>
    <t xml:space="preserve">Reporting structure from CSV HR export.</t>
  </si>
  <si>
    <t xml:space="preserve">person_card, department</t>
  </si>
  <si>
    <t xml:space="preserve">reports_to</t>
  </si>
  <si>
    <t xml:space="preserve">Tree layout, top-down; siblings ordered by data</t>
  </si>
  <si>
    <t xml:space="preserve">Optional (departments)</t>
  </si>
  <si>
    <t xml:space="preserve">Very wide trees → stagger/compress leaf rows</t>
  </si>
  <si>
    <t xml:space="preserve">OR-02</t>
  </si>
  <si>
    <t xml:space="preserve">Matrix org / dotted-line</t>
  </si>
  <si>
    <t xml:space="preserve">Hierarchy plus secondary (functional) reporting lines.</t>
  </si>
  <si>
    <t xml:space="preserve">person_card</t>
  </si>
  <si>
    <t xml:space="preserve">reports_to, dotted_reporting</t>
  </si>
  <si>
    <t xml:space="preserve">Tree for primary edges; secondary edges routed around</t>
  </si>
  <si>
    <t xml:space="preserve">Secondary edges must not be confused with primary</t>
  </si>
  <si>
    <t xml:space="preserve">NW-01</t>
  </si>
  <si>
    <t xml:space="preserve">Network</t>
  </si>
  <si>
    <t xml:space="preserve">Network topology</t>
  </si>
  <si>
    <t xml:space="preserve">Zones (Internet/DMZ/Internal) with devices and links.</t>
  </si>
  <si>
    <t xml:space="preserve">cloud, firewall, router, switch, load_balancer, server, zone</t>
  </si>
  <si>
    <t xml:space="preserve">physical_link, logical_link, vpn_tunnel</t>
  </si>
  <si>
    <t xml:space="preserve">Tiered top-down by zone; devices grid inside zone</t>
  </si>
  <si>
    <t xml:space="preserve">Yes (zones)</t>
  </si>
  <si>
    <t xml:space="preserve">Redundant links (N×M) need parallel edge offsets</t>
  </si>
  <si>
    <t xml:space="preserve">NW-02</t>
  </si>
  <si>
    <t xml:space="preserve">Deployment diagram</t>
  </si>
  <si>
    <t xml:space="preserve">What runs where: artifacts inside runtimes inside servers.</t>
  </si>
  <si>
    <t xml:space="preserve">node, device, artifact, execution_env</t>
  </si>
  <si>
    <t xml:space="preserve">deployed_on (nesting), communicates</t>
  </si>
  <si>
    <t xml:space="preserve">Nested containers + orthogonal links</t>
  </si>
  <si>
    <t xml:space="preserve">Yes (3+ levels deep)</t>
  </si>
  <si>
    <t xml:space="preserve">Deep nesting: size must propagate bottom-up</t>
  </si>
  <si>
    <t xml:space="preserve">ER-01</t>
  </si>
  <si>
    <t xml:space="preserve">ERD</t>
  </si>
  <si>
    <t xml:space="preserve">Entity-relationship (crow's foot)</t>
  </si>
  <si>
    <t xml:space="preserve">Tables with attribute rows; cardinality on edges.</t>
  </si>
  <si>
    <t xml:space="preserve">entity (multi-row shape)</t>
  </si>
  <si>
    <t xml:space="preserve">one_to_many, one_to_one, many_to_many</t>
  </si>
  <si>
    <t xml:space="preserve">Orthogonal grid; connected entities adjacent</t>
  </si>
  <si>
    <t xml:space="preserve">No (entity IS a list shape)</t>
  </si>
  <si>
    <t xml:space="preserve">Row-list shapes: height = f(attribute count); edge anchors at rows</t>
  </si>
  <si>
    <t xml:space="preserve">ER-02</t>
  </si>
  <si>
    <t xml:space="preserve">Data lineage / flow</t>
  </si>
  <si>
    <t xml:space="preserve">How data moves between systems, left to right.</t>
  </si>
  <si>
    <t xml:space="preserve">application_component, data_object, database</t>
  </si>
  <si>
    <t xml:space="preserve">data_flow (labelled)</t>
  </si>
  <si>
    <t xml:space="preserve">Layered left-to-right (rank = pipeline stage)</t>
  </si>
  <si>
    <t xml:space="preserve">Optional (stages)</t>
  </si>
  <si>
    <t xml:space="preserve">Long horizontal edges need waypoint hints</t>
  </si>
  <si>
    <t xml:space="preserve">entity_type</t>
  </si>
  <si>
    <t xml:space="preserve">shape</t>
  </si>
  <si>
    <t xml:space="preserve">decoration / icon</t>
  </si>
  <si>
    <t xml:space="preserve">default_w</t>
  </si>
  <si>
    <t xml:space="preserve">default_h</t>
  </si>
  <si>
    <t xml:space="preserve">min_w</t>
  </si>
  <si>
    <t xml:space="preserve">min_h</t>
  </si>
  <si>
    <t xml:space="preserve">fill_hex</t>
  </si>
  <si>
    <t xml:space="preserve">stroke_hex</t>
  </si>
  <si>
    <t xml:space="preserve">auto_size</t>
  </si>
  <si>
    <t xml:space="preserve">notes</t>
  </si>
  <si>
    <t xml:space="preserve">business_actor</t>
  </si>
  <si>
    <t xml:space="preserve">rectangle</t>
  </si>
  <si>
    <t xml:space="preserve">person icon, top-right</t>
  </si>
  <si>
    <t xml:space="preserve">#FFFFB5</t>
  </si>
  <si>
    <t xml:space="preserve">#B8B800</t>
  </si>
  <si>
    <t xml:space="preserve">Y</t>
  </si>
  <si>
    <t xml:space="preserve">ArchiMate business layer = yellow</t>
  </si>
  <si>
    <t xml:space="preserve">business_role</t>
  </si>
  <si>
    <t xml:space="preserve">cylinder-role icon, top-right</t>
  </si>
  <si>
    <t xml:space="preserve">business_process</t>
  </si>
  <si>
    <t xml:space="preserve">rounded rectangle</t>
  </si>
  <si>
    <t xml:space="preserve">arrow icon, top-right</t>
  </si>
  <si>
    <t xml:space="preserve">business_service</t>
  </si>
  <si>
    <t xml:space="preserve">service icon</t>
  </si>
  <si>
    <t xml:space="preserve">business_object</t>
  </si>
  <si>
    <t xml:space="preserve">rectangle w/ title band</t>
  </si>
  <si>
    <t xml:space="preserve">none</t>
  </si>
  <si>
    <t xml:space="preserve">business_event</t>
  </si>
  <si>
    <t xml:space="preserve">arrow-tip icon</t>
  </si>
  <si>
    <t xml:space="preserve">rounded-square icon</t>
  </si>
  <si>
    <t xml:space="preserve">Parents auto-grow to fit children (rule SZ-08)</t>
  </si>
  <si>
    <t xml:space="preserve">value_stream</t>
  </si>
  <si>
    <t xml:space="preserve">chevron</t>
  </si>
  <si>
    <t xml:space="preserve">Chevrons butt-joined left→right</t>
  </si>
  <si>
    <t xml:space="preserve">goal</t>
  </si>
  <si>
    <t xml:space="preserve">target icon</t>
  </si>
  <si>
    <t xml:space="preserve">#E8D5E8</t>
  </si>
  <si>
    <t xml:space="preserve">#9E6B9E</t>
  </si>
  <si>
    <t xml:space="preserve">Motivation layer = purple</t>
  </si>
  <si>
    <t xml:space="preserve">outcome</t>
  </si>
  <si>
    <t xml:space="preserve">outcome icon</t>
  </si>
  <si>
    <t xml:space="preserve">stakeholder</t>
  </si>
  <si>
    <t xml:space="preserve">person icon</t>
  </si>
  <si>
    <t xml:space="preserve">application_component</t>
  </si>
  <si>
    <t xml:space="preserve">component icon, top-right</t>
  </si>
  <si>
    <t xml:space="preserve">#B5E3F7</t>
  </si>
  <si>
    <t xml:space="preserve">#4A90B8</t>
  </si>
  <si>
    <t xml:space="preserve">Application layer = blue</t>
  </si>
  <si>
    <t xml:space="preserve">application_service</t>
  </si>
  <si>
    <t xml:space="preserve">application_interface</t>
  </si>
  <si>
    <t xml:space="preserve">lollipop icon</t>
  </si>
  <si>
    <t xml:space="preserve">data_object</t>
  </si>
  <si>
    <t xml:space="preserve">node</t>
  </si>
  <si>
    <t xml:space="preserve">3D box</t>
  </si>
  <si>
    <t xml:space="preserve">#C9E7C9</t>
  </si>
  <si>
    <t xml:space="preserve">#5E9C5E</t>
  </si>
  <si>
    <t xml:space="preserve">Technology layer = green</t>
  </si>
  <si>
    <t xml:space="preserve">device</t>
  </si>
  <si>
    <t xml:space="preserve">3D box, thick base</t>
  </si>
  <si>
    <t xml:space="preserve">device icon</t>
  </si>
  <si>
    <t xml:space="preserve">technology_service</t>
  </si>
  <si>
    <t xml:space="preserve">artifact</t>
  </si>
  <si>
    <t xml:space="preserve">dog-ear corner</t>
  </si>
  <si>
    <t xml:space="preserve">group</t>
  </si>
  <si>
    <t xml:space="preserve">rectangle, dashed</t>
  </si>
  <si>
    <t xml:space="preserve">label top-left</t>
  </si>
  <si>
    <t xml:space="preserve">#FFFFFF</t>
  </si>
  <si>
    <t xml:space="preserve">#808080</t>
  </si>
  <si>
    <t xml:space="preserve">container</t>
  </si>
  <si>
    <t xml:space="preserve">Generic container; size from children</t>
  </si>
  <si>
    <t xml:space="preserve">start_end</t>
  </si>
  <si>
    <t xml:space="preserve">stadium (pill)</t>
  </si>
  <si>
    <t xml:space="preserve">#D5E8D4</t>
  </si>
  <si>
    <t xml:space="preserve">#82B366</t>
  </si>
  <si>
    <t xml:space="preserve">Terminator</t>
  </si>
  <si>
    <t xml:space="preserve">process</t>
  </si>
  <si>
    <t xml:space="preserve">#DAE8FC</t>
  </si>
  <si>
    <t xml:space="preserve">#6C8EBF</t>
  </si>
  <si>
    <t xml:space="preserve">decision</t>
  </si>
  <si>
    <t xml:space="preserve">diamond</t>
  </si>
  <si>
    <t xml:space="preserve">#FFE6CC</t>
  </si>
  <si>
    <t xml:space="preserve">#D79B00</t>
  </si>
  <si>
    <t xml:space="preserve">Aspect ratio locked ~1.75:1 (rule SZ-06)</t>
  </si>
  <si>
    <t xml:space="preserve">data_io</t>
  </si>
  <si>
    <t xml:space="preserve">parallelogram</t>
  </si>
  <si>
    <t xml:space="preserve">#F8CECC</t>
  </si>
  <si>
    <t xml:space="preserve">#B85450</t>
  </si>
  <si>
    <t xml:space="preserve">Input/output</t>
  </si>
  <si>
    <t xml:space="preserve">document</t>
  </si>
  <si>
    <t xml:space="preserve">rectangle, wavy bottom</t>
  </si>
  <si>
    <t xml:space="preserve">#FFF2CC</t>
  </si>
  <si>
    <t xml:space="preserve">#D6B656</t>
  </si>
  <si>
    <t xml:space="preserve">database</t>
  </si>
  <si>
    <t xml:space="preserve">cylinder</t>
  </si>
  <si>
    <t xml:space="preserve">#E1D5E7</t>
  </si>
  <si>
    <t xml:space="preserve">#9673A6</t>
  </si>
  <si>
    <t xml:space="preserve">Also used in ER-02 / NW</t>
  </si>
  <si>
    <t xml:space="preserve">subprocess</t>
  </si>
  <si>
    <t xml:space="preserve">rectangle, double side bars</t>
  </si>
  <si>
    <t xml:space="preserve">Links to another diagram_id</t>
  </si>
  <si>
    <t xml:space="preserve">connector</t>
  </si>
  <si>
    <t xml:space="preserve">circle</t>
  </si>
  <si>
    <t xml:space="preserve">letter label</t>
  </si>
  <si>
    <t xml:space="preserve">#666666</t>
  </si>
  <si>
    <t xml:space="preserve">N</t>
  </si>
  <si>
    <t xml:space="preserve">Off-page connector; fixed size</t>
  </si>
  <si>
    <t xml:space="preserve">lane</t>
  </si>
  <si>
    <t xml:space="preserve">rectangle w/ rotated title bar</t>
  </si>
  <si>
    <t xml:space="preserve">#F5F5F5</t>
  </si>
  <si>
    <t xml:space="preserve">Height = busiest lane (rule SZ-09)</t>
  </si>
  <si>
    <t xml:space="preserve">rounded rectangle, 2-line</t>
  </si>
  <si>
    <t xml:space="preserve">photo circle, left</t>
  </si>
  <si>
    <t xml:space="preserve">#4472C4</t>
  </si>
  <si>
    <t xml:space="preserve">Fixed size for grid alignment; name + title lines</t>
  </si>
  <si>
    <t xml:space="preserve">department</t>
  </si>
  <si>
    <t xml:space="preserve">label top</t>
  </si>
  <si>
    <t xml:space="preserve">#F2F7FF</t>
  </si>
  <si>
    <t xml:space="preserve">#8FAADC</t>
  </si>
  <si>
    <t xml:space="preserve">cloud</t>
  </si>
  <si>
    <t xml:space="preserve">Internet / external</t>
  </si>
  <si>
    <t xml:space="preserve">firewall</t>
  </si>
  <si>
    <t xml:space="preserve">brick-wall icon</t>
  </si>
  <si>
    <t xml:space="preserve">router</t>
  </si>
  <si>
    <t xml:space="preserve">circle w/ arrows icon</t>
  </si>
  <si>
    <t xml:space="preserve">switch</t>
  </si>
  <si>
    <t xml:space="preserve">switch icon</t>
  </si>
  <si>
    <t xml:space="preserve">load_balancer</t>
  </si>
  <si>
    <t xml:space="preserve">LB icon</t>
  </si>
  <si>
    <t xml:space="preserve">server</t>
  </si>
  <si>
    <t xml:space="preserve">rectangle, rack style</t>
  </si>
  <si>
    <t xml:space="preserve">server icon</t>
  </si>
  <si>
    <t xml:space="preserve">zone</t>
  </si>
  <si>
    <t xml:space="preserve">#FBFBFB</t>
  </si>
  <si>
    <t xml:space="preserve">#999999</t>
  </si>
  <si>
    <t xml:space="preserve">DMZ / Internal / etc.</t>
  </si>
  <si>
    <t xml:space="preserve">entity</t>
  </si>
  <si>
    <t xml:space="preserve">rectangle w/ title band + rows</t>
  </si>
  <si>
    <t xml:space="preserve">PK/FK markers per row</t>
  </si>
  <si>
    <t xml:space="preserve">#333333</t>
  </si>
  <si>
    <t xml:space="preserve">rows</t>
  </si>
  <si>
    <t xml:space="preserve">Height = 30 title + 22 × attribute_count (rule SZ-07)</t>
  </si>
  <si>
    <t xml:space="preserve">view</t>
  </si>
  <si>
    <t xml:space="preserve">rectangle, dashed title band</t>
  </si>
  <si>
    <t xml:space="preserve">#FAFAFA</t>
  </si>
  <si>
    <t xml:space="preserve">#777777</t>
  </si>
  <si>
    <t xml:space="preserve">relation_type</t>
  </si>
  <si>
    <t xml:space="preserve">line_style</t>
  </si>
  <si>
    <t xml:space="preserve">width_px</t>
  </si>
  <si>
    <t xml:space="preserve">source_end</t>
  </si>
  <si>
    <t xml:space="preserve">target_end</t>
  </si>
  <si>
    <t xml:space="preserve">routing</t>
  </si>
  <si>
    <t xml:space="preserve">label_position</t>
  </si>
  <si>
    <t xml:space="preserve">color_hex</t>
  </si>
  <si>
    <t xml:space="preserve">semantics / when to use</t>
  </si>
  <si>
    <t xml:space="preserve">composition</t>
  </si>
  <si>
    <t xml:space="preserve">solid</t>
  </si>
  <si>
    <t xml:space="preserve">filled diamond</t>
  </si>
  <si>
    <t xml:space="preserve">orthogonal</t>
  </si>
  <si>
    <t xml:space="preserve">Whole–part, part cannot exist alone (alt: nest via parent_id)</t>
  </si>
  <si>
    <t xml:space="preserve">aggregation</t>
  </si>
  <si>
    <t xml:space="preserve">open diamond</t>
  </si>
  <si>
    <t xml:space="preserve">Whole–part, part can exist alone</t>
  </si>
  <si>
    <t xml:space="preserve">assignment</t>
  </si>
  <si>
    <t xml:space="preserve">filled ball</t>
  </si>
  <si>
    <t xml:space="preserve">open arrow</t>
  </si>
  <si>
    <t xml:space="preserve">Actor/role/node performs or hosts the target</t>
  </si>
  <si>
    <t xml:space="preserve">realization</t>
  </si>
  <si>
    <t xml:space="preserve">dashed</t>
  </si>
  <si>
    <t xml:space="preserve">hollow triangle</t>
  </si>
  <si>
    <t xml:space="preserve">Concrete element realizes an abstract one (app → service)</t>
  </si>
  <si>
    <t xml:space="preserve">serving</t>
  </si>
  <si>
    <t xml:space="preserve">midpoint</t>
  </si>
  <si>
    <t xml:space="preserve">Element provides functionality to another (was "used by")</t>
  </si>
  <si>
    <t xml:space="preserve">access</t>
  </si>
  <si>
    <t xml:space="preserve">dotted</t>
  </si>
  <si>
    <t xml:space="preserve">Behavior reads/writes a data/business object</t>
  </si>
  <si>
    <t xml:space="preserve">triggering</t>
  </si>
  <si>
    <t xml:space="preserve">filled arrow</t>
  </si>
  <si>
    <t xml:space="preserve">Temporal order between behaviors/events</t>
  </si>
  <si>
    <t xml:space="preserve">flow</t>
  </si>
  <si>
    <t xml:space="preserve">Transfer of information/value between behaviors</t>
  </si>
  <si>
    <t xml:space="preserve">association</t>
  </si>
  <si>
    <t xml:space="preserve">straight</t>
  </si>
  <si>
    <t xml:space="preserve">Unspecified relation; default when unsure</t>
  </si>
  <si>
    <t xml:space="preserve">specialization</t>
  </si>
  <si>
    <t xml:space="preserve">"is a kind of" (used heavily in metamodels)</t>
  </si>
  <si>
    <t xml:space="preserve">sequence_flow</t>
  </si>
  <si>
    <t xml:space="preserve">near source (yes/no)</t>
  </si>
  <si>
    <t xml:space="preserve">Step order; label carries branch condition</t>
  </si>
  <si>
    <t xml:space="preserve">message_flow</t>
  </si>
  <si>
    <t xml:space="preserve">open circle</t>
  </si>
  <si>
    <t xml:space="preserve">Communication across lanes/pools</t>
  </si>
  <si>
    <t xml:space="preserve">orthogonal (elbow)</t>
  </si>
  <si>
    <t xml:space="preserve">Primary reporting line; drawn child-bottom to parent-top</t>
  </si>
  <si>
    <t xml:space="preserve">dotted_reporting</t>
  </si>
  <si>
    <t xml:space="preserve">orthogonal, routed outside</t>
  </si>
  <si>
    <t xml:space="preserve">Secondary / functional reporting</t>
  </si>
  <si>
    <t xml:space="preserve">physical_link</t>
  </si>
  <si>
    <t xml:space="preserve">midpoint (VLAN/port)</t>
  </si>
  <si>
    <t xml:space="preserve">Cable / physical connection</t>
  </si>
  <si>
    <t xml:space="preserve">logical_link</t>
  </si>
  <si>
    <t xml:space="preserve">Logical/overlay connectivity</t>
  </si>
  <si>
    <t xml:space="preserve">vpn_tunnel</t>
  </si>
  <si>
    <t xml:space="preserve">dash-dot</t>
  </si>
  <si>
    <t xml:space="preserve">curved</t>
  </si>
  <si>
    <t xml:space="preserve">Encrypted tunnel</t>
  </si>
  <si>
    <t xml:space="preserve">one_to_many</t>
  </si>
  <si>
    <t xml:space="preserve">single tick (1)</t>
  </si>
  <si>
    <t xml:space="preserve">crow's foot (N)</t>
  </si>
  <si>
    <t xml:space="preserve">both ends</t>
  </si>
  <si>
    <t xml:space="preserve">1:N; foot on the many side</t>
  </si>
  <si>
    <t xml:space="preserve">one_to_one</t>
  </si>
  <si>
    <t xml:space="preserve">single tick</t>
  </si>
  <si>
    <t xml:space="preserve">1:1</t>
  </si>
  <si>
    <t xml:space="preserve">many_to_many</t>
  </si>
  <si>
    <t xml:space="preserve">crow's foot</t>
  </si>
  <si>
    <t xml:space="preserve">M:N; renderer may suggest junction entity</t>
  </si>
  <si>
    <t xml:space="preserve">data_flow</t>
  </si>
  <si>
    <t xml:space="preserve">midpoint (dataset name)</t>
  </si>
  <si>
    <t xml:space="preserve">Lineage: data moves source → target</t>
  </si>
  <si>
    <t xml:space="preserve">rule_id</t>
  </si>
  <si>
    <t xml:space="preserve">category</t>
  </si>
  <si>
    <t xml:space="preserve">rule</t>
  </si>
  <si>
    <t xml:space="preserve">value / formula</t>
  </si>
  <si>
    <t xml:space="preserve">applies_to</t>
  </si>
  <si>
    <t xml:space="preserve">SZ-01</t>
  </si>
  <si>
    <t xml:space="preserve">Text metrics</t>
  </si>
  <si>
    <t xml:space="preserve">Average character width (Arial 12px) used for width estimation</t>
  </si>
  <si>
    <t xml:space="preserve">CHAR_W = 7 px  |  LINE_H = 16 px</t>
  </si>
  <si>
    <t xml:space="preserve">all auto_size shapes</t>
  </si>
  <si>
    <t xml:space="preserve">SZ-02</t>
  </si>
  <si>
    <t xml:space="preserve">Node width</t>
  </si>
  <si>
    <t xml:space="preserve">Width grows with label, bounded</t>
  </si>
  <si>
    <t xml:space="preserve">w = CLAMP(min_w, LEN(label)×CHAR_W + 2×PAD_X, max_w=260)</t>
  </si>
  <si>
    <t xml:space="preserve">auto_size = Y</t>
  </si>
  <si>
    <t xml:space="preserve">SZ-03</t>
  </si>
  <si>
    <t xml:space="preserve">Node height</t>
  </si>
  <si>
    <t xml:space="preserve">Height grows when label wraps</t>
  </si>
  <si>
    <t xml:space="preserve">lines = CEIL(LEN(label)×CHAR_W ÷ (w − 2×PAD_X));  h = MAX(min_h, lines×LINE_H + 2×PAD_Y)</t>
  </si>
  <si>
    <t xml:space="preserve">SZ-04</t>
  </si>
  <si>
    <t xml:space="preserve">Padding</t>
  </si>
  <si>
    <t xml:space="preserve">Inner text padding</t>
  </si>
  <si>
    <t xml:space="preserve">PAD_X = 12 px, PAD_Y = 10 px (icons: +18 px right)</t>
  </si>
  <si>
    <t xml:space="preserve">all shapes</t>
  </si>
  <si>
    <t xml:space="preserve">SZ-05</t>
  </si>
  <si>
    <t xml:space="preserve">Grid snap</t>
  </si>
  <si>
    <t xml:space="preserve">All x, y, w, h snap to grid</t>
  </si>
  <si>
    <t xml:space="preserve">GRID = 10 px</t>
  </si>
  <si>
    <t xml:space="preserve">layout engine</t>
  </si>
  <si>
    <t xml:space="preserve">SZ-06</t>
  </si>
  <si>
    <t xml:space="preserve">Diamond ratio</t>
  </si>
  <si>
    <t xml:space="preserve">Decision diamonds keep aspect ratio; label wraps to fit</t>
  </si>
  <si>
    <t xml:space="preserve">w : h = 1.75 : 1; if label &gt; 20 chars → wrap, grow both axes</t>
  </si>
  <si>
    <t xml:space="preserve">SZ-07</t>
  </si>
  <si>
    <t xml:space="preserve">Row-list shapes</t>
  </si>
  <si>
    <t xml:space="preserve">ERD entities sized by attribute count</t>
  </si>
  <si>
    <t xml:space="preserve">h = TITLE_H(30) + rows×ROW_H(22); w = MAX(widest row text + 40, 160)</t>
  </si>
  <si>
    <t xml:space="preserve">entity, view</t>
  </si>
  <si>
    <t xml:space="preserve">SZ-08</t>
  </si>
  <si>
    <t xml:space="preserve">Container fit</t>
  </si>
  <si>
    <t xml:space="preserve">Parents auto-grow bottom-up to wrap children</t>
  </si>
  <si>
    <t xml:space="preserve">w/h = child bbox + PAD_C(20) each side + HEADER_H(28) top; computed leaf-first</t>
  </si>
  <si>
    <t xml:space="preserve">all containers</t>
  </si>
  <si>
    <t xml:space="preserve">SZ-09</t>
  </si>
  <si>
    <t xml:space="preserve">Lane sizing</t>
  </si>
  <si>
    <t xml:space="preserve">All lanes share length; thickness set by busiest lane</t>
  </si>
  <si>
    <t xml:space="preserve">lane_len = max over lanes; lane_thickness = max node span + 2×PAD_C</t>
  </si>
  <si>
    <t xml:space="preserve">SZ-10</t>
  </si>
  <si>
    <t xml:space="preserve">Sibling spacing</t>
  </si>
  <si>
    <t xml:space="preserve">Horizontal gap between nodes at same rank</t>
  </si>
  <si>
    <t xml:space="preserve">GAP_X = 40 px (org charts: 24 px)</t>
  </si>
  <si>
    <t xml:space="preserve">tree/layered layouts</t>
  </si>
  <si>
    <t xml:space="preserve">SZ-11</t>
  </si>
  <si>
    <t xml:space="preserve">Rank spacing</t>
  </si>
  <si>
    <t xml:space="preserve">Vertical gap between ranks/levels</t>
  </si>
  <si>
    <t xml:space="preserve">GAP_Y = 60 px (flowcharts: 50 px)</t>
  </si>
  <si>
    <t xml:space="preserve">SZ-12</t>
  </si>
  <si>
    <t xml:space="preserve">Edge clearance</t>
  </si>
  <si>
    <t xml:space="preserve">Orthogonal edges keep distance from node borders</t>
  </si>
  <si>
    <t xml:space="preserve">CLEAR = 15 px; parallel edges offset 8 px apart</t>
  </si>
  <si>
    <t xml:space="preserve">SZ-13</t>
  </si>
  <si>
    <t xml:space="preserve">Label truncation</t>
  </si>
  <si>
    <t xml:space="preserve">Hard cap to protect layout</t>
  </si>
  <si>
    <t xml:space="preserve">&gt; 60 chars → truncate with … + full text in tooltip/metadata</t>
  </si>
  <si>
    <t xml:space="preserve">all labels</t>
  </si>
  <si>
    <t xml:space="preserve">SZ-14</t>
  </si>
  <si>
    <t xml:space="preserve">Canvas</t>
  </si>
  <si>
    <t xml:space="preserve">Canvas computed from content, never fixed</t>
  </si>
  <si>
    <t xml:space="preserve">bbox of all top-level nodes + 40 px margin; A4/16:9 hint only scales output</t>
  </si>
  <si>
    <t xml:space="preserve">renderer</t>
  </si>
  <si>
    <t xml:space="preserve">SZ-15</t>
  </si>
  <si>
    <t xml:space="preserve">Anchor points</t>
  </si>
  <si>
    <t xml:space="preserve">Edge attach points per shape</t>
  </si>
  <si>
    <t xml:space="preserve">N/S/E/W midpoints default; ERD rows anchor at row Y-center; trees: child-top → parent-bottom</t>
  </si>
  <si>
    <t xml:space="preserve">SZ-16</t>
  </si>
  <si>
    <t xml:space="preserve">Font scale</t>
  </si>
  <si>
    <t xml:space="preserve">Font sizes by role</t>
  </si>
  <si>
    <t xml:space="preserve">node label 12 px; container title 13 px bold; edge label 10 px</t>
  </si>
  <si>
    <t xml:space="preserve">diagram_id</t>
  </si>
  <si>
    <t xml:space="preserve">title</t>
  </si>
  <si>
    <t xml:space="preserve">direction</t>
  </si>
  <si>
    <t xml:space="preserve">theme</t>
  </si>
  <si>
    <t xml:space="preserve">D1</t>
  </si>
  <si>
    <t xml:space="preserve">Retail Platform — Layered View</t>
  </si>
  <si>
    <t xml:space="preserve">layers top-down</t>
  </si>
  <si>
    <t xml:space="preserve">archimate</t>
  </si>
  <si>
    <t xml:space="preserve">Business → Application → Technology</t>
  </si>
  <si>
    <t xml:space="preserve">D2</t>
  </si>
  <si>
    <t xml:space="preserve">Order Approval Process</t>
  </si>
  <si>
    <t xml:space="preserve">top-down</t>
  </si>
  <si>
    <t xml:space="preserve">classic</t>
  </si>
  <si>
    <t xml:space="preserve">One decision, reject loop</t>
  </si>
  <si>
    <t xml:space="preserve">D3</t>
  </si>
  <si>
    <t xml:space="preserve">Engineering Org</t>
  </si>
  <si>
    <t xml:space="preserve">corporate</t>
  </si>
  <si>
    <t xml:space="preserve">From HR CSV export</t>
  </si>
  <si>
    <t xml:space="preserve">D4</t>
  </si>
  <si>
    <t xml:space="preserve">Web Platform Topology</t>
  </si>
  <si>
    <t xml:space="preserve">tiers top-down</t>
  </si>
  <si>
    <t xml:space="preserve">network</t>
  </si>
  <si>
    <t xml:space="preserve">Internet → DMZ → Internal</t>
  </si>
  <si>
    <t xml:space="preserve">D5</t>
  </si>
  <si>
    <t xml:space="preserve">Order Management Schema</t>
  </si>
  <si>
    <t xml:space="preserve">orthogonal grid</t>
  </si>
  <si>
    <t xml:space="preserve">erd</t>
  </si>
  <si>
    <t xml:space="preserve">Crow's foot</t>
  </si>
  <si>
    <t xml:space="preserve">node_id</t>
  </si>
  <si>
    <t xml:space="preserve">parent_id</t>
  </si>
  <si>
    <t xml:space="preserve">label</t>
  </si>
  <si>
    <t xml:space="preserve">rank_hint</t>
  </si>
  <si>
    <t xml:space="preserve">order_hint</t>
  </si>
  <si>
    <t xml:space="preserve">w_override</t>
  </si>
  <si>
    <t xml:space="preserve">h_override</t>
  </si>
  <si>
    <t xml:space="preserve">computed_w</t>
  </si>
  <si>
    <t xml:space="preserve">computed_h</t>
  </si>
  <si>
    <t xml:space="preserve">fill_override</t>
  </si>
  <si>
    <t xml:space="preserve">metadata</t>
  </si>
  <si>
    <t xml:space="preserve">L1</t>
  </si>
  <si>
    <t xml:space="preserve">Business Layer</t>
  </si>
  <si>
    <t xml:space="preserve">#FFFDE7</t>
  </si>
  <si>
    <t xml:space="preserve">layer=business</t>
  </si>
  <si>
    <t xml:space="preserve">L2</t>
  </si>
  <si>
    <t xml:space="preserve">Application Layer</t>
  </si>
  <si>
    <t xml:space="preserve">#E8F4FB</t>
  </si>
  <si>
    <t xml:space="preserve">layer=application</t>
  </si>
  <si>
    <t xml:space="preserve">L3</t>
  </si>
  <si>
    <t xml:space="preserve">Technology Layer</t>
  </si>
  <si>
    <t xml:space="preserve">#EDF7ED</t>
  </si>
  <si>
    <t xml:space="preserve">layer=technology</t>
  </si>
  <si>
    <t xml:space="preserve">B1</t>
  </si>
  <si>
    <t xml:space="preserve">Order Fulfilment</t>
  </si>
  <si>
    <t xml:space="preserve">B2</t>
  </si>
  <si>
    <t xml:space="preserve">Customer Support Service</t>
  </si>
  <si>
    <t xml:space="preserve">A1</t>
  </si>
  <si>
    <t xml:space="preserve">E-Commerce Platform</t>
  </si>
  <si>
    <t xml:space="preserve">lifecycle=active</t>
  </si>
  <si>
    <t xml:space="preserve">A2</t>
  </si>
  <si>
    <t xml:space="preserve">CRM System</t>
  </si>
  <si>
    <t xml:space="preserve">lifecycle=phase-out</t>
  </si>
  <si>
    <t xml:space="preserve">A3</t>
  </si>
  <si>
    <t xml:space="preserve">Order Management Service</t>
  </si>
  <si>
    <t xml:space="preserve">T1</t>
  </si>
  <si>
    <t xml:space="preserve">Kubernetes Cluster</t>
  </si>
  <si>
    <t xml:space="preserve">T2</t>
  </si>
  <si>
    <t xml:space="preserve">Database Server</t>
  </si>
  <si>
    <t xml:space="preserve">F1</t>
  </si>
  <si>
    <t xml:space="preserve">Start</t>
  </si>
  <si>
    <t xml:space="preserve">F2</t>
  </si>
  <si>
    <t xml:space="preserve">Receive Purchase Order</t>
  </si>
  <si>
    <t xml:space="preserve">F3</t>
  </si>
  <si>
    <t xml:space="preserve">Budget Approved?</t>
  </si>
  <si>
    <t xml:space="preserve">F4</t>
  </si>
  <si>
    <t xml:space="preserve">Process Payment</t>
  </si>
  <si>
    <t xml:space="preserve">F5</t>
  </si>
  <si>
    <t xml:space="preserve">Notify Requester of Rejection</t>
  </si>
  <si>
    <t xml:space="preserve">F6</t>
  </si>
  <si>
    <t xml:space="preserve">Update ERP Record</t>
  </si>
  <si>
    <t xml:space="preserve">F7</t>
  </si>
  <si>
    <t xml:space="preserve">End</t>
  </si>
  <si>
    <t xml:space="preserve">P1</t>
  </si>
  <si>
    <t xml:space="preserve">Priya Sharma — VP Engineering</t>
  </si>
  <si>
    <t xml:space="preserve">dept=Engineering</t>
  </si>
  <si>
    <t xml:space="preserve">P2</t>
  </si>
  <si>
    <t xml:space="preserve">Jacob Cherian — Director, Platform</t>
  </si>
  <si>
    <t xml:space="preserve">P3</t>
  </si>
  <si>
    <t xml:space="preserve">Abhijit Davande — Director, Apps</t>
  </si>
  <si>
    <t xml:space="preserve">P4</t>
  </si>
  <si>
    <t xml:space="preserve">Manav Rathi — Senior Engineer</t>
  </si>
  <si>
    <t xml:space="preserve">P5</t>
  </si>
  <si>
    <t xml:space="preserve">Palaash Padman — Engineer</t>
  </si>
  <si>
    <t xml:space="preserve">N0</t>
  </si>
  <si>
    <t xml:space="preserve">Internet</t>
  </si>
  <si>
    <t xml:space="preserve">Z1</t>
  </si>
  <si>
    <t xml:space="preserve">DMZ</t>
  </si>
  <si>
    <t xml:space="preserve">Z2</t>
  </si>
  <si>
    <t xml:space="preserve">Internal Network</t>
  </si>
  <si>
    <t xml:space="preserve">N1</t>
  </si>
  <si>
    <t xml:space="preserve">Edge Firewall</t>
  </si>
  <si>
    <t xml:space="preserve">N2</t>
  </si>
  <si>
    <t xml:space="preserve">Load Balancer</t>
  </si>
  <si>
    <t xml:space="preserve">N3</t>
  </si>
  <si>
    <t xml:space="preserve">Web Server 01</t>
  </si>
  <si>
    <t xml:space="preserve">N4</t>
  </si>
  <si>
    <t xml:space="preserve">Web Server 02</t>
  </si>
  <si>
    <t xml:space="preserve">N5</t>
  </si>
  <si>
    <t xml:space="preserve">PostgreSQL Primary</t>
  </si>
  <si>
    <t xml:space="preserve">E1</t>
  </si>
  <si>
    <t xml:space="preserve">CUSTOMER</t>
  </si>
  <si>
    <t xml:space="preserve">rows=id(PK);name;email;created_at</t>
  </si>
  <si>
    <t xml:space="preserve">E2</t>
  </si>
  <si>
    <t xml:space="preserve">ORDER</t>
  </si>
  <si>
    <t xml:space="preserve">rows=id(PK);customer_id(FK);status;total</t>
  </si>
  <si>
    <t xml:space="preserve">E3</t>
  </si>
  <si>
    <t xml:space="preserve">ORDER_ITEM</t>
  </si>
  <si>
    <t xml:space="preserve">rows=id(PK);order_id(FK);product_id(FK);qty</t>
  </si>
  <si>
    <t xml:space="preserve">E4</t>
  </si>
  <si>
    <t xml:space="preserve">PRODUCT</t>
  </si>
  <si>
    <t xml:space="preserve">rows=id(PK);sku;name;price</t>
  </si>
  <si>
    <t xml:space="preserve">edge_id</t>
  </si>
  <si>
    <t xml:space="preserve">source_id</t>
  </si>
  <si>
    <t xml:space="preserve">target_id</t>
  </si>
  <si>
    <t xml:space="preserve">waypoint_hint</t>
  </si>
  <si>
    <t xml:space="preserve">e1</t>
  </si>
  <si>
    <t xml:space="preserve">App serves business process</t>
  </si>
  <si>
    <t xml:space="preserve">e2</t>
  </si>
  <si>
    <t xml:space="preserve">e3</t>
  </si>
  <si>
    <t xml:space="preserve">Component realizes service</t>
  </si>
  <si>
    <t xml:space="preserve">e4</t>
  </si>
  <si>
    <t xml:space="preserve">e5</t>
  </si>
  <si>
    <t xml:space="preserve">Cluster hosts platform</t>
  </si>
  <si>
    <t xml:space="preserve">e6</t>
  </si>
  <si>
    <t xml:space="preserve">e7</t>
  </si>
  <si>
    <t xml:space="preserve">e8</t>
  </si>
  <si>
    <t xml:space="preserve">e9</t>
  </si>
  <si>
    <t xml:space="preserve">Yes</t>
  </si>
  <si>
    <t xml:space="preserve">Approved branch</t>
  </si>
  <si>
    <t xml:space="preserve">e10</t>
  </si>
  <si>
    <t xml:space="preserve">route:right</t>
  </si>
  <si>
    <t xml:space="preserve">Rejected branch</t>
  </si>
  <si>
    <t xml:space="preserve">e11</t>
  </si>
  <si>
    <t xml:space="preserve">e12</t>
  </si>
  <si>
    <t xml:space="preserve">e13</t>
  </si>
  <si>
    <t xml:space="preserve">Merge to end</t>
  </si>
  <si>
    <t xml:space="preserve">e14</t>
  </si>
  <si>
    <t xml:space="preserve">e15</t>
  </si>
  <si>
    <t xml:space="preserve">e16</t>
  </si>
  <si>
    <t xml:space="preserve">e17</t>
  </si>
  <si>
    <t xml:space="preserve">e18</t>
  </si>
  <si>
    <t xml:space="preserve">project lead</t>
  </si>
  <si>
    <t xml:space="preserve">Matrix line</t>
  </si>
  <si>
    <t xml:space="preserve">e19</t>
  </si>
  <si>
    <t xml:space="preserve">WAN</t>
  </si>
  <si>
    <t xml:space="preserve">e20</t>
  </si>
  <si>
    <t xml:space="preserve">e21</t>
  </si>
  <si>
    <t xml:space="preserve">HTTP:80</t>
  </si>
  <si>
    <t xml:space="preserve">e22</t>
  </si>
  <si>
    <t xml:space="preserve">Parallel edge → 8px offset (SZ-12)</t>
  </si>
  <si>
    <t xml:space="preserve">e23</t>
  </si>
  <si>
    <t xml:space="preserve">SQL</t>
  </si>
  <si>
    <t xml:space="preserve">e24</t>
  </si>
  <si>
    <t xml:space="preserve">e25</t>
  </si>
  <si>
    <t xml:space="preserve">1 : N</t>
  </si>
  <si>
    <t xml:space="preserve">Customer places orders</t>
  </si>
  <si>
    <t xml:space="preserve">e26</t>
  </si>
  <si>
    <t xml:space="preserve">e27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</si>
</sst>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FFDEEBF7"/>
        <bgColor rgb="FFEDEDED"/>
      </patternFill>
    </fill>
    <fill>
      <patternFill patternType="solid">
        <fgColor rgb="FFE2EFDA"/>
        <bgColor rgb="FFEDEDED"/>
      </patternFill>
    </fill>
    <fill>
      <patternFill patternType="solid">
        <fgColor rgb="FFFCE4D6"/>
        <bgColor rgb="FFFFF2CC"/>
      </patternFill>
    </fill>
    <fill>
      <patternFill patternType="solid">
        <fgColor rgb="FFEDEDED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E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3" customFormat="false" ht="23.8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/>
      <c r="B4" s="3"/>
    </row>
    <row r="5" customFormat="false" ht="35.05" hidden="false" customHeight="false" outlineLevel="0" collapsed="false">
      <c r="A5" s="2" t="s">
        <v>3</v>
      </c>
      <c r="B5" s="3" t="s">
        <v>4</v>
      </c>
    </row>
    <row r="6" customFormat="false" ht="15" hidden="false" customHeight="false" outlineLevel="0" collapsed="false">
      <c r="A6" s="2"/>
      <c r="B6" s="3"/>
    </row>
    <row r="7" customFormat="false" ht="15" hidden="false" customHeight="false" outlineLevel="0" collapsed="false">
      <c r="A7" s="2" t="s">
        <v>5</v>
      </c>
      <c r="B7" s="3"/>
    </row>
    <row r="8" customFormat="false" ht="15" hidden="false" customHeight="false" outlineLevel="0" collapsed="false">
      <c r="A8" s="2" t="s">
        <v>6</v>
      </c>
      <c r="B8" s="3" t="s">
        <v>7</v>
      </c>
    </row>
    <row r="9" customFormat="false" ht="15" hidden="false" customHeight="false" outlineLevel="0" collapsed="false">
      <c r="A9" s="2" t="s">
        <v>8</v>
      </c>
      <c r="B9" s="3" t="s">
        <v>9</v>
      </c>
    </row>
    <row r="10" customFormat="false" ht="15" hidden="false" customHeight="false" outlineLevel="0" collapsed="false">
      <c r="A10" s="2" t="s">
        <v>10</v>
      </c>
      <c r="B10" s="3" t="s">
        <v>11</v>
      </c>
    </row>
    <row r="11" customFormat="false" ht="15" hidden="false" customHeight="false" outlineLevel="0" collapsed="false">
      <c r="A11" s="2" t="s">
        <v>12</v>
      </c>
      <c r="B11" s="3" t="s">
        <v>13</v>
      </c>
    </row>
    <row r="12" customFormat="false" ht="15" hidden="false" customHeight="false" outlineLevel="0" collapsed="false">
      <c r="A12" s="2" t="s">
        <v>14</v>
      </c>
      <c r="B12" s="3" t="s">
        <v>15</v>
      </c>
    </row>
    <row r="13" customFormat="false" ht="15" hidden="false" customHeight="false" outlineLevel="0" collapsed="false">
      <c r="A13" s="2" t="s">
        <v>16</v>
      </c>
      <c r="B13" s="3" t="s">
        <v>17</v>
      </c>
    </row>
    <row r="14" customFormat="false" ht="15" hidden="false" customHeight="false" outlineLevel="0" collapsed="false">
      <c r="A14" s="2" t="s">
        <v>18</v>
      </c>
      <c r="B14" s="3" t="s">
        <v>19</v>
      </c>
    </row>
    <row r="15" customFormat="false" ht="15" hidden="false" customHeight="false" outlineLevel="0" collapsed="false">
      <c r="A15" s="2"/>
      <c r="B15" s="3"/>
    </row>
    <row r="16" customFormat="false" ht="35.05" hidden="false" customHeight="false" outlineLevel="0" collapsed="false">
      <c r="A16" s="2" t="s">
        <v>20</v>
      </c>
      <c r="B16" s="3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3" min="3" style="0" width="24"/>
    <col collapsed="false" customWidth="true" hidden="false" outlineLevel="0" max="4" min="4" style="0" width="44"/>
    <col collapsed="false" customWidth="true" hidden="false" outlineLevel="0" max="5" min="5" style="0" width="30"/>
    <col collapsed="false" customWidth="true" hidden="false" outlineLevel="0" max="6" min="6" style="0" width="26"/>
    <col collapsed="false" customWidth="true" hidden="false" outlineLevel="0" max="7" min="7" style="0" width="34"/>
    <col collapsed="false" customWidth="true" hidden="false" outlineLevel="0" max="8" min="8" style="0" width="14"/>
    <col collapsed="false" customWidth="true" hidden="false" outlineLevel="0" max="9" min="9" style="0" width="38"/>
  </cols>
  <sheetData>
    <row r="1" customFormat="false" ht="23.85" hidden="false" customHeight="false" outlineLevel="0" collapsed="false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  <c r="G1" s="4" t="s">
        <v>28</v>
      </c>
      <c r="H1" s="4" t="s">
        <v>29</v>
      </c>
      <c r="I1" s="4" t="s">
        <v>30</v>
      </c>
    </row>
    <row r="2" customFormat="false" ht="35.05" hidden="false" customHeight="false" outlineLevel="0" collapsed="false">
      <c r="A2" s="5" t="s">
        <v>31</v>
      </c>
      <c r="B2" s="5" t="s">
        <v>32</v>
      </c>
      <c r="C2" s="5" t="s">
        <v>33</v>
      </c>
      <c r="D2" s="5" t="s">
        <v>34</v>
      </c>
      <c r="E2" s="5" t="s">
        <v>35</v>
      </c>
      <c r="F2" s="5" t="s">
        <v>36</v>
      </c>
      <c r="G2" s="5" t="s">
        <v>37</v>
      </c>
      <c r="H2" s="5" t="s">
        <v>38</v>
      </c>
      <c r="I2" s="5" t="s">
        <v>39</v>
      </c>
    </row>
    <row r="3" customFormat="false" ht="23.85" hidden="false" customHeight="false" outlineLevel="0" collapsed="false">
      <c r="A3" s="5" t="s">
        <v>40</v>
      </c>
      <c r="B3" s="5" t="s">
        <v>32</v>
      </c>
      <c r="C3" s="5" t="s">
        <v>41</v>
      </c>
      <c r="D3" s="5" t="s">
        <v>42</v>
      </c>
      <c r="E3" s="5" t="s">
        <v>43</v>
      </c>
      <c r="F3" s="5" t="s">
        <v>44</v>
      </c>
      <c r="G3" s="5" t="s">
        <v>45</v>
      </c>
      <c r="H3" s="5" t="s">
        <v>46</v>
      </c>
      <c r="I3" s="5" t="s">
        <v>47</v>
      </c>
    </row>
    <row r="4" customFormat="false" ht="23.85" hidden="false" customHeight="false" outlineLevel="0" collapsed="false">
      <c r="A4" s="5" t="s">
        <v>48</v>
      </c>
      <c r="B4" s="5" t="s">
        <v>32</v>
      </c>
      <c r="C4" s="5" t="s">
        <v>49</v>
      </c>
      <c r="D4" s="5" t="s">
        <v>50</v>
      </c>
      <c r="E4" s="5" t="s">
        <v>51</v>
      </c>
      <c r="F4" s="5" t="s">
        <v>52</v>
      </c>
      <c r="G4" s="5" t="s">
        <v>53</v>
      </c>
      <c r="H4" s="5" t="s">
        <v>54</v>
      </c>
      <c r="I4" s="5" t="s">
        <v>55</v>
      </c>
    </row>
    <row r="5" customFormat="false" ht="23.85" hidden="false" customHeight="false" outlineLevel="0" collapsed="false">
      <c r="A5" s="5" t="s">
        <v>56</v>
      </c>
      <c r="B5" s="5" t="s">
        <v>32</v>
      </c>
      <c r="C5" s="5" t="s">
        <v>57</v>
      </c>
      <c r="D5" s="5" t="s">
        <v>58</v>
      </c>
      <c r="E5" s="5" t="s">
        <v>59</v>
      </c>
      <c r="F5" s="5" t="s">
        <v>60</v>
      </c>
      <c r="G5" s="5" t="s">
        <v>61</v>
      </c>
      <c r="H5" s="5" t="s">
        <v>62</v>
      </c>
      <c r="I5" s="5" t="s">
        <v>63</v>
      </c>
    </row>
    <row r="6" customFormat="false" ht="23.85" hidden="false" customHeight="false" outlineLevel="0" collapsed="false">
      <c r="A6" s="6" t="s">
        <v>64</v>
      </c>
      <c r="B6" s="6" t="s">
        <v>65</v>
      </c>
      <c r="C6" s="6" t="s">
        <v>66</v>
      </c>
      <c r="D6" s="6" t="s">
        <v>67</v>
      </c>
      <c r="E6" s="6" t="s">
        <v>68</v>
      </c>
      <c r="F6" s="6" t="s">
        <v>69</v>
      </c>
      <c r="G6" s="6" t="s">
        <v>70</v>
      </c>
      <c r="H6" s="6" t="s">
        <v>71</v>
      </c>
      <c r="I6" s="6" t="s">
        <v>72</v>
      </c>
    </row>
    <row r="7" customFormat="false" ht="23.85" hidden="false" customHeight="false" outlineLevel="0" collapsed="false">
      <c r="A7" s="6" t="s">
        <v>73</v>
      </c>
      <c r="B7" s="6" t="s">
        <v>65</v>
      </c>
      <c r="C7" s="6" t="s">
        <v>74</v>
      </c>
      <c r="D7" s="6" t="s">
        <v>75</v>
      </c>
      <c r="E7" s="6" t="s">
        <v>76</v>
      </c>
      <c r="F7" s="6" t="s">
        <v>77</v>
      </c>
      <c r="G7" s="6" t="s">
        <v>78</v>
      </c>
      <c r="H7" s="6" t="s">
        <v>79</v>
      </c>
      <c r="I7" s="6" t="s">
        <v>80</v>
      </c>
    </row>
    <row r="8" customFormat="false" ht="23.85" hidden="false" customHeight="false" outlineLevel="0" collapsed="false">
      <c r="A8" s="6" t="s">
        <v>81</v>
      </c>
      <c r="B8" s="6" t="s">
        <v>65</v>
      </c>
      <c r="C8" s="6" t="s">
        <v>82</v>
      </c>
      <c r="D8" s="6" t="s">
        <v>83</v>
      </c>
      <c r="E8" s="6" t="s">
        <v>84</v>
      </c>
      <c r="F8" s="6" t="s">
        <v>85</v>
      </c>
      <c r="G8" s="6" t="s">
        <v>86</v>
      </c>
      <c r="H8" s="6" t="s">
        <v>71</v>
      </c>
      <c r="I8" s="6" t="s">
        <v>87</v>
      </c>
    </row>
    <row r="9" customFormat="false" ht="23.85" hidden="false" customHeight="false" outlineLevel="0" collapsed="false">
      <c r="A9" s="7" t="s">
        <v>88</v>
      </c>
      <c r="B9" s="7" t="s">
        <v>89</v>
      </c>
      <c r="C9" s="7" t="s">
        <v>90</v>
      </c>
      <c r="D9" s="7" t="s">
        <v>91</v>
      </c>
      <c r="E9" s="7" t="s">
        <v>92</v>
      </c>
      <c r="F9" s="7" t="s">
        <v>93</v>
      </c>
      <c r="G9" s="7" t="s">
        <v>94</v>
      </c>
      <c r="H9" s="7" t="s">
        <v>95</v>
      </c>
      <c r="I9" s="7" t="s">
        <v>96</v>
      </c>
    </row>
    <row r="10" customFormat="false" ht="23.85" hidden="false" customHeight="false" outlineLevel="0" collapsed="false">
      <c r="A10" s="7" t="s">
        <v>97</v>
      </c>
      <c r="B10" s="7" t="s">
        <v>89</v>
      </c>
      <c r="C10" s="7" t="s">
        <v>98</v>
      </c>
      <c r="D10" s="7" t="s">
        <v>99</v>
      </c>
      <c r="E10" s="7" t="s">
        <v>100</v>
      </c>
      <c r="F10" s="7" t="s">
        <v>101</v>
      </c>
      <c r="G10" s="7" t="s">
        <v>102</v>
      </c>
      <c r="H10" s="7" t="s">
        <v>62</v>
      </c>
      <c r="I10" s="7" t="s">
        <v>103</v>
      </c>
    </row>
    <row r="11" customFormat="false" ht="23.85" hidden="false" customHeight="false" outlineLevel="0" collapsed="false">
      <c r="A11" s="8" t="s">
        <v>104</v>
      </c>
      <c r="B11" s="8" t="s">
        <v>105</v>
      </c>
      <c r="C11" s="8" t="s">
        <v>106</v>
      </c>
      <c r="D11" s="8" t="s">
        <v>107</v>
      </c>
      <c r="E11" s="8" t="s">
        <v>108</v>
      </c>
      <c r="F11" s="8" t="s">
        <v>109</v>
      </c>
      <c r="G11" s="8" t="s">
        <v>110</v>
      </c>
      <c r="H11" s="8" t="s">
        <v>111</v>
      </c>
      <c r="I11" s="8" t="s">
        <v>112</v>
      </c>
    </row>
    <row r="12" customFormat="false" ht="23.85" hidden="false" customHeight="false" outlineLevel="0" collapsed="false">
      <c r="A12" s="8" t="s">
        <v>113</v>
      </c>
      <c r="B12" s="8" t="s">
        <v>105</v>
      </c>
      <c r="C12" s="8" t="s">
        <v>114</v>
      </c>
      <c r="D12" s="8" t="s">
        <v>115</v>
      </c>
      <c r="E12" s="8" t="s">
        <v>116</v>
      </c>
      <c r="F12" s="8" t="s">
        <v>117</v>
      </c>
      <c r="G12" s="8" t="s">
        <v>118</v>
      </c>
      <c r="H12" s="8" t="s">
        <v>119</v>
      </c>
      <c r="I12" s="8" t="s">
        <v>120</v>
      </c>
    </row>
    <row r="13" customFormat="false" ht="23.85" hidden="false" customHeight="false" outlineLevel="0" collapsed="false">
      <c r="A13" s="9" t="s">
        <v>121</v>
      </c>
      <c r="B13" s="9" t="s">
        <v>122</v>
      </c>
      <c r="C13" s="9" t="s">
        <v>123</v>
      </c>
      <c r="D13" s="9" t="s">
        <v>124</v>
      </c>
      <c r="E13" s="9" t="s">
        <v>125</v>
      </c>
      <c r="F13" s="9" t="s">
        <v>126</v>
      </c>
      <c r="G13" s="9" t="s">
        <v>127</v>
      </c>
      <c r="H13" s="9" t="s">
        <v>128</v>
      </c>
      <c r="I13" s="9" t="s">
        <v>129</v>
      </c>
    </row>
    <row r="14" customFormat="false" ht="23.85" hidden="false" customHeight="false" outlineLevel="0" collapsed="false">
      <c r="A14" s="9" t="s">
        <v>130</v>
      </c>
      <c r="B14" s="9" t="s">
        <v>122</v>
      </c>
      <c r="C14" s="9" t="s">
        <v>131</v>
      </c>
      <c r="D14" s="9" t="s">
        <v>132</v>
      </c>
      <c r="E14" s="9" t="s">
        <v>133</v>
      </c>
      <c r="F14" s="9" t="s">
        <v>134</v>
      </c>
      <c r="G14" s="9" t="s">
        <v>135</v>
      </c>
      <c r="H14" s="9" t="s">
        <v>136</v>
      </c>
      <c r="I14" s="9" t="s">
        <v>137</v>
      </c>
    </row>
  </sheetData>
  <autoFilter ref="A1:I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6" min="5" style="0" width="10"/>
    <col collapsed="false" customWidth="true" hidden="false" outlineLevel="0" max="8" min="7" style="0" width="8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10"/>
    <col collapsed="false" customWidth="true" hidden="false" outlineLevel="0" max="12" min="12" style="0" width="42"/>
  </cols>
  <sheetData>
    <row r="1" customFormat="false" ht="15" hidden="false" customHeight="false" outlineLevel="0" collapsed="false">
      <c r="A1" s="4" t="s">
        <v>138</v>
      </c>
      <c r="B1" s="4" t="s">
        <v>23</v>
      </c>
      <c r="C1" s="4" t="s">
        <v>139</v>
      </c>
      <c r="D1" s="4" t="s">
        <v>140</v>
      </c>
      <c r="E1" s="4" t="s">
        <v>141</v>
      </c>
      <c r="F1" s="4" t="s">
        <v>142</v>
      </c>
      <c r="G1" s="4" t="s">
        <v>143</v>
      </c>
      <c r="H1" s="4" t="s">
        <v>144</v>
      </c>
      <c r="I1" s="4" t="s">
        <v>145</v>
      </c>
      <c r="J1" s="4" t="s">
        <v>146</v>
      </c>
      <c r="K1" s="4" t="s">
        <v>147</v>
      </c>
      <c r="L1" s="4" t="s">
        <v>148</v>
      </c>
    </row>
    <row r="2" customFormat="false" ht="15" hidden="false" customHeight="false" outlineLevel="0" collapsed="false">
      <c r="A2" s="5" t="s">
        <v>149</v>
      </c>
      <c r="B2" s="5" t="s">
        <v>32</v>
      </c>
      <c r="C2" s="5" t="s">
        <v>150</v>
      </c>
      <c r="D2" s="5" t="s">
        <v>151</v>
      </c>
      <c r="E2" s="5" t="n">
        <v>120</v>
      </c>
      <c r="F2" s="5" t="n">
        <v>50</v>
      </c>
      <c r="G2" s="5" t="n">
        <v>100</v>
      </c>
      <c r="H2" s="5" t="n">
        <v>40</v>
      </c>
      <c r="I2" s="5" t="s">
        <v>152</v>
      </c>
      <c r="J2" s="5" t="s">
        <v>153</v>
      </c>
      <c r="K2" s="5" t="s">
        <v>154</v>
      </c>
      <c r="L2" s="5" t="s">
        <v>155</v>
      </c>
    </row>
    <row r="3" customFormat="false" ht="15" hidden="false" customHeight="false" outlineLevel="0" collapsed="false">
      <c r="A3" s="5" t="s">
        <v>156</v>
      </c>
      <c r="B3" s="5" t="s">
        <v>32</v>
      </c>
      <c r="C3" s="5" t="s">
        <v>150</v>
      </c>
      <c r="D3" s="5" t="s">
        <v>157</v>
      </c>
      <c r="E3" s="5" t="n">
        <v>120</v>
      </c>
      <c r="F3" s="5" t="n">
        <v>50</v>
      </c>
      <c r="G3" s="5" t="n">
        <v>100</v>
      </c>
      <c r="H3" s="5" t="n">
        <v>40</v>
      </c>
      <c r="I3" s="5" t="s">
        <v>152</v>
      </c>
      <c r="J3" s="5" t="s">
        <v>153</v>
      </c>
      <c r="K3" s="5" t="s">
        <v>154</v>
      </c>
      <c r="L3" s="5"/>
    </row>
    <row r="4" customFormat="false" ht="15" hidden="false" customHeight="false" outlineLevel="0" collapsed="false">
      <c r="A4" s="5" t="s">
        <v>158</v>
      </c>
      <c r="B4" s="5" t="s">
        <v>32</v>
      </c>
      <c r="C4" s="5" t="s">
        <v>159</v>
      </c>
      <c r="D4" s="5" t="s">
        <v>160</v>
      </c>
      <c r="E4" s="5" t="n">
        <v>140</v>
      </c>
      <c r="F4" s="5" t="n">
        <v>50</v>
      </c>
      <c r="G4" s="5" t="n">
        <v>100</v>
      </c>
      <c r="H4" s="5" t="n">
        <v>40</v>
      </c>
      <c r="I4" s="5" t="s">
        <v>152</v>
      </c>
      <c r="J4" s="5" t="s">
        <v>153</v>
      </c>
      <c r="K4" s="5" t="s">
        <v>154</v>
      </c>
      <c r="L4" s="5"/>
    </row>
    <row r="5" customFormat="false" ht="15" hidden="false" customHeight="false" outlineLevel="0" collapsed="false">
      <c r="A5" s="5" t="s">
        <v>161</v>
      </c>
      <c r="B5" s="5" t="s">
        <v>32</v>
      </c>
      <c r="C5" s="5" t="s">
        <v>159</v>
      </c>
      <c r="D5" s="5" t="s">
        <v>162</v>
      </c>
      <c r="E5" s="5" t="n">
        <v>140</v>
      </c>
      <c r="F5" s="5" t="n">
        <v>50</v>
      </c>
      <c r="G5" s="5" t="n">
        <v>100</v>
      </c>
      <c r="H5" s="5" t="n">
        <v>40</v>
      </c>
      <c r="I5" s="5" t="s">
        <v>152</v>
      </c>
      <c r="J5" s="5" t="s">
        <v>153</v>
      </c>
      <c r="K5" s="5" t="s">
        <v>154</v>
      </c>
      <c r="L5" s="5"/>
    </row>
    <row r="6" customFormat="false" ht="15" hidden="false" customHeight="false" outlineLevel="0" collapsed="false">
      <c r="A6" s="5" t="s">
        <v>163</v>
      </c>
      <c r="B6" s="5" t="s">
        <v>32</v>
      </c>
      <c r="C6" s="5" t="s">
        <v>164</v>
      </c>
      <c r="D6" s="5" t="s">
        <v>165</v>
      </c>
      <c r="E6" s="5" t="n">
        <v>120</v>
      </c>
      <c r="F6" s="5" t="n">
        <v>55</v>
      </c>
      <c r="G6" s="5" t="n">
        <v>100</v>
      </c>
      <c r="H6" s="5" t="n">
        <v>45</v>
      </c>
      <c r="I6" s="5" t="s">
        <v>152</v>
      </c>
      <c r="J6" s="5" t="s">
        <v>153</v>
      </c>
      <c r="K6" s="5" t="s">
        <v>154</v>
      </c>
      <c r="L6" s="5"/>
    </row>
    <row r="7" customFormat="false" ht="15" hidden="false" customHeight="false" outlineLevel="0" collapsed="false">
      <c r="A7" s="5" t="s">
        <v>166</v>
      </c>
      <c r="B7" s="5" t="s">
        <v>32</v>
      </c>
      <c r="C7" s="5" t="s">
        <v>159</v>
      </c>
      <c r="D7" s="5" t="s">
        <v>167</v>
      </c>
      <c r="E7" s="5" t="n">
        <v>120</v>
      </c>
      <c r="F7" s="5" t="n">
        <v>45</v>
      </c>
      <c r="G7" s="5" t="n">
        <v>100</v>
      </c>
      <c r="H7" s="5" t="n">
        <v>40</v>
      </c>
      <c r="I7" s="5" t="s">
        <v>152</v>
      </c>
      <c r="J7" s="5" t="s">
        <v>153</v>
      </c>
      <c r="K7" s="5" t="s">
        <v>154</v>
      </c>
      <c r="L7" s="5"/>
    </row>
    <row r="8" customFormat="false" ht="15" hidden="false" customHeight="false" outlineLevel="0" collapsed="false">
      <c r="A8" s="5" t="s">
        <v>43</v>
      </c>
      <c r="B8" s="5" t="s">
        <v>32</v>
      </c>
      <c r="C8" s="5" t="s">
        <v>150</v>
      </c>
      <c r="D8" s="5" t="s">
        <v>168</v>
      </c>
      <c r="E8" s="5" t="n">
        <v>160</v>
      </c>
      <c r="F8" s="5" t="n">
        <v>60</v>
      </c>
      <c r="G8" s="5" t="n">
        <v>120</v>
      </c>
      <c r="H8" s="5" t="n">
        <v>50</v>
      </c>
      <c r="I8" s="5" t="s">
        <v>152</v>
      </c>
      <c r="J8" s="5" t="s">
        <v>153</v>
      </c>
      <c r="K8" s="5" t="s">
        <v>154</v>
      </c>
      <c r="L8" s="5" t="s">
        <v>169</v>
      </c>
    </row>
    <row r="9" customFormat="false" ht="15" hidden="false" customHeight="false" outlineLevel="0" collapsed="false">
      <c r="A9" s="5" t="s">
        <v>170</v>
      </c>
      <c r="B9" s="5" t="s">
        <v>32</v>
      </c>
      <c r="C9" s="5" t="s">
        <v>171</v>
      </c>
      <c r="D9" s="5" t="s">
        <v>165</v>
      </c>
      <c r="E9" s="5" t="n">
        <v>160</v>
      </c>
      <c r="F9" s="5" t="n">
        <v>55</v>
      </c>
      <c r="G9" s="5" t="n">
        <v>120</v>
      </c>
      <c r="H9" s="5" t="n">
        <v>45</v>
      </c>
      <c r="I9" s="5" t="s">
        <v>152</v>
      </c>
      <c r="J9" s="5" t="s">
        <v>153</v>
      </c>
      <c r="K9" s="5" t="s">
        <v>154</v>
      </c>
      <c r="L9" s="5" t="s">
        <v>172</v>
      </c>
    </row>
    <row r="10" customFormat="false" ht="15" hidden="false" customHeight="false" outlineLevel="0" collapsed="false">
      <c r="A10" s="5" t="s">
        <v>173</v>
      </c>
      <c r="B10" s="5" t="s">
        <v>32</v>
      </c>
      <c r="C10" s="5" t="s">
        <v>159</v>
      </c>
      <c r="D10" s="5" t="s">
        <v>174</v>
      </c>
      <c r="E10" s="5" t="n">
        <v>130</v>
      </c>
      <c r="F10" s="5" t="n">
        <v>50</v>
      </c>
      <c r="G10" s="5" t="n">
        <v>100</v>
      </c>
      <c r="H10" s="5" t="n">
        <v>40</v>
      </c>
      <c r="I10" s="5" t="s">
        <v>175</v>
      </c>
      <c r="J10" s="5" t="s">
        <v>176</v>
      </c>
      <c r="K10" s="5" t="s">
        <v>154</v>
      </c>
      <c r="L10" s="5" t="s">
        <v>177</v>
      </c>
    </row>
    <row r="11" customFormat="false" ht="15" hidden="false" customHeight="false" outlineLevel="0" collapsed="false">
      <c r="A11" s="5" t="s">
        <v>178</v>
      </c>
      <c r="B11" s="5" t="s">
        <v>32</v>
      </c>
      <c r="C11" s="5" t="s">
        <v>159</v>
      </c>
      <c r="D11" s="5" t="s">
        <v>179</v>
      </c>
      <c r="E11" s="5" t="n">
        <v>130</v>
      </c>
      <c r="F11" s="5" t="n">
        <v>50</v>
      </c>
      <c r="G11" s="5" t="n">
        <v>100</v>
      </c>
      <c r="H11" s="5" t="n">
        <v>40</v>
      </c>
      <c r="I11" s="5" t="s">
        <v>175</v>
      </c>
      <c r="J11" s="5" t="s">
        <v>176</v>
      </c>
      <c r="K11" s="5" t="s">
        <v>154</v>
      </c>
      <c r="L11" s="5"/>
    </row>
    <row r="12" customFormat="false" ht="15" hidden="false" customHeight="false" outlineLevel="0" collapsed="false">
      <c r="A12" s="5" t="s">
        <v>180</v>
      </c>
      <c r="B12" s="5" t="s">
        <v>32</v>
      </c>
      <c r="C12" s="5" t="s">
        <v>159</v>
      </c>
      <c r="D12" s="5" t="s">
        <v>181</v>
      </c>
      <c r="E12" s="5" t="n">
        <v>130</v>
      </c>
      <c r="F12" s="5" t="n">
        <v>50</v>
      </c>
      <c r="G12" s="5" t="n">
        <v>100</v>
      </c>
      <c r="H12" s="5" t="n">
        <v>40</v>
      </c>
      <c r="I12" s="5" t="s">
        <v>175</v>
      </c>
      <c r="J12" s="5" t="s">
        <v>176</v>
      </c>
      <c r="K12" s="5" t="s">
        <v>154</v>
      </c>
      <c r="L12" s="5"/>
    </row>
    <row r="13" customFormat="false" ht="15" hidden="false" customHeight="false" outlineLevel="0" collapsed="false">
      <c r="A13" s="5" t="s">
        <v>182</v>
      </c>
      <c r="B13" s="5" t="s">
        <v>32</v>
      </c>
      <c r="C13" s="5" t="s">
        <v>150</v>
      </c>
      <c r="D13" s="5" t="s">
        <v>183</v>
      </c>
      <c r="E13" s="5" t="n">
        <v>150</v>
      </c>
      <c r="F13" s="5" t="n">
        <v>55</v>
      </c>
      <c r="G13" s="5" t="n">
        <v>110</v>
      </c>
      <c r="H13" s="5" t="n">
        <v>45</v>
      </c>
      <c r="I13" s="5" t="s">
        <v>184</v>
      </c>
      <c r="J13" s="5" t="s">
        <v>185</v>
      </c>
      <c r="K13" s="5" t="s">
        <v>154</v>
      </c>
      <c r="L13" s="5" t="s">
        <v>186</v>
      </c>
    </row>
    <row r="14" customFormat="false" ht="15" hidden="false" customHeight="false" outlineLevel="0" collapsed="false">
      <c r="A14" s="5" t="s">
        <v>187</v>
      </c>
      <c r="B14" s="5" t="s">
        <v>32</v>
      </c>
      <c r="C14" s="5" t="s">
        <v>159</v>
      </c>
      <c r="D14" s="5" t="s">
        <v>162</v>
      </c>
      <c r="E14" s="5" t="n">
        <v>150</v>
      </c>
      <c r="F14" s="5" t="n">
        <v>50</v>
      </c>
      <c r="G14" s="5" t="n">
        <v>110</v>
      </c>
      <c r="H14" s="5" t="n">
        <v>40</v>
      </c>
      <c r="I14" s="5" t="s">
        <v>184</v>
      </c>
      <c r="J14" s="5" t="s">
        <v>185</v>
      </c>
      <c r="K14" s="5" t="s">
        <v>154</v>
      </c>
      <c r="L14" s="5"/>
    </row>
    <row r="15" customFormat="false" ht="15" hidden="false" customHeight="false" outlineLevel="0" collapsed="false">
      <c r="A15" s="5" t="s">
        <v>188</v>
      </c>
      <c r="B15" s="5" t="s">
        <v>32</v>
      </c>
      <c r="C15" s="5" t="s">
        <v>150</v>
      </c>
      <c r="D15" s="5" t="s">
        <v>189</v>
      </c>
      <c r="E15" s="5" t="n">
        <v>140</v>
      </c>
      <c r="F15" s="5" t="n">
        <v>50</v>
      </c>
      <c r="G15" s="5" t="n">
        <v>100</v>
      </c>
      <c r="H15" s="5" t="n">
        <v>40</v>
      </c>
      <c r="I15" s="5" t="s">
        <v>184</v>
      </c>
      <c r="J15" s="5" t="s">
        <v>185</v>
      </c>
      <c r="K15" s="5" t="s">
        <v>154</v>
      </c>
      <c r="L15" s="5"/>
    </row>
    <row r="16" customFormat="false" ht="15" hidden="false" customHeight="false" outlineLevel="0" collapsed="false">
      <c r="A16" s="5" t="s">
        <v>190</v>
      </c>
      <c r="B16" s="5" t="s">
        <v>32</v>
      </c>
      <c r="C16" s="5" t="s">
        <v>164</v>
      </c>
      <c r="D16" s="5" t="s">
        <v>165</v>
      </c>
      <c r="E16" s="5" t="n">
        <v>120</v>
      </c>
      <c r="F16" s="5" t="n">
        <v>55</v>
      </c>
      <c r="G16" s="5" t="n">
        <v>100</v>
      </c>
      <c r="H16" s="5" t="n">
        <v>45</v>
      </c>
      <c r="I16" s="5" t="s">
        <v>184</v>
      </c>
      <c r="J16" s="5" t="s">
        <v>185</v>
      </c>
      <c r="K16" s="5" t="s">
        <v>154</v>
      </c>
      <c r="L16" s="5"/>
    </row>
    <row r="17" customFormat="false" ht="15" hidden="false" customHeight="false" outlineLevel="0" collapsed="false">
      <c r="A17" s="5" t="s">
        <v>191</v>
      </c>
      <c r="B17" s="5" t="s">
        <v>32</v>
      </c>
      <c r="C17" s="5" t="s">
        <v>192</v>
      </c>
      <c r="D17" s="5" t="s">
        <v>165</v>
      </c>
      <c r="E17" s="5" t="n">
        <v>140</v>
      </c>
      <c r="F17" s="5" t="n">
        <v>60</v>
      </c>
      <c r="G17" s="5" t="n">
        <v>110</v>
      </c>
      <c r="H17" s="5" t="n">
        <v>50</v>
      </c>
      <c r="I17" s="5" t="s">
        <v>193</v>
      </c>
      <c r="J17" s="5" t="s">
        <v>194</v>
      </c>
      <c r="K17" s="5" t="s">
        <v>154</v>
      </c>
      <c r="L17" s="5" t="s">
        <v>195</v>
      </c>
    </row>
    <row r="18" customFormat="false" ht="15" hidden="false" customHeight="false" outlineLevel="0" collapsed="false">
      <c r="A18" s="5" t="s">
        <v>196</v>
      </c>
      <c r="B18" s="5" t="s">
        <v>32</v>
      </c>
      <c r="C18" s="5" t="s">
        <v>197</v>
      </c>
      <c r="D18" s="5" t="s">
        <v>198</v>
      </c>
      <c r="E18" s="5" t="n">
        <v>140</v>
      </c>
      <c r="F18" s="5" t="n">
        <v>60</v>
      </c>
      <c r="G18" s="5" t="n">
        <v>110</v>
      </c>
      <c r="H18" s="5" t="n">
        <v>50</v>
      </c>
      <c r="I18" s="5" t="s">
        <v>193</v>
      </c>
      <c r="J18" s="5" t="s">
        <v>194</v>
      </c>
      <c r="K18" s="5" t="s">
        <v>154</v>
      </c>
      <c r="L18" s="5"/>
    </row>
    <row r="19" customFormat="false" ht="15" hidden="false" customHeight="false" outlineLevel="0" collapsed="false">
      <c r="A19" s="5" t="s">
        <v>199</v>
      </c>
      <c r="B19" s="5" t="s">
        <v>32</v>
      </c>
      <c r="C19" s="5" t="s">
        <v>159</v>
      </c>
      <c r="D19" s="5" t="s">
        <v>162</v>
      </c>
      <c r="E19" s="5" t="n">
        <v>150</v>
      </c>
      <c r="F19" s="5" t="n">
        <v>50</v>
      </c>
      <c r="G19" s="5" t="n">
        <v>110</v>
      </c>
      <c r="H19" s="5" t="n">
        <v>40</v>
      </c>
      <c r="I19" s="5" t="s">
        <v>193</v>
      </c>
      <c r="J19" s="5" t="s">
        <v>194</v>
      </c>
      <c r="K19" s="5" t="s">
        <v>154</v>
      </c>
      <c r="L19" s="5"/>
    </row>
    <row r="20" customFormat="false" ht="15" hidden="false" customHeight="false" outlineLevel="0" collapsed="false">
      <c r="A20" s="5" t="s">
        <v>200</v>
      </c>
      <c r="B20" s="5" t="s">
        <v>32</v>
      </c>
      <c r="C20" s="5" t="s">
        <v>150</v>
      </c>
      <c r="D20" s="5" t="s">
        <v>201</v>
      </c>
      <c r="E20" s="5" t="n">
        <v>120</v>
      </c>
      <c r="F20" s="5" t="n">
        <v>50</v>
      </c>
      <c r="G20" s="5" t="n">
        <v>90</v>
      </c>
      <c r="H20" s="5" t="n">
        <v>40</v>
      </c>
      <c r="I20" s="5" t="s">
        <v>193</v>
      </c>
      <c r="J20" s="5" t="s">
        <v>194</v>
      </c>
      <c r="K20" s="5" t="s">
        <v>154</v>
      </c>
      <c r="L20" s="5"/>
    </row>
    <row r="21" customFormat="false" ht="15" hidden="false" customHeight="false" outlineLevel="0" collapsed="false">
      <c r="A21" s="5" t="s">
        <v>202</v>
      </c>
      <c r="B21" s="5" t="s">
        <v>32</v>
      </c>
      <c r="C21" s="5" t="s">
        <v>203</v>
      </c>
      <c r="D21" s="5" t="s">
        <v>204</v>
      </c>
      <c r="E21" s="5" t="n">
        <v>400</v>
      </c>
      <c r="F21" s="5" t="n">
        <v>300</v>
      </c>
      <c r="G21" s="5" t="n">
        <v>200</v>
      </c>
      <c r="H21" s="5" t="n">
        <v>150</v>
      </c>
      <c r="I21" s="5" t="s">
        <v>205</v>
      </c>
      <c r="J21" s="5" t="s">
        <v>206</v>
      </c>
      <c r="K21" s="5" t="s">
        <v>207</v>
      </c>
      <c r="L21" s="5" t="s">
        <v>208</v>
      </c>
    </row>
    <row r="22" customFormat="false" ht="15" hidden="false" customHeight="false" outlineLevel="0" collapsed="false">
      <c r="A22" s="6" t="s">
        <v>209</v>
      </c>
      <c r="B22" s="6" t="s">
        <v>65</v>
      </c>
      <c r="C22" s="6" t="s">
        <v>210</v>
      </c>
      <c r="D22" s="6" t="s">
        <v>165</v>
      </c>
      <c r="E22" s="6" t="n">
        <v>100</v>
      </c>
      <c r="F22" s="6" t="n">
        <v>40</v>
      </c>
      <c r="G22" s="6" t="n">
        <v>80</v>
      </c>
      <c r="H22" s="6" t="n">
        <v>36</v>
      </c>
      <c r="I22" s="6" t="s">
        <v>211</v>
      </c>
      <c r="J22" s="6" t="s">
        <v>212</v>
      </c>
      <c r="K22" s="6" t="s">
        <v>154</v>
      </c>
      <c r="L22" s="6" t="s">
        <v>213</v>
      </c>
    </row>
    <row r="23" customFormat="false" ht="15" hidden="false" customHeight="false" outlineLevel="0" collapsed="false">
      <c r="A23" s="6" t="s">
        <v>214</v>
      </c>
      <c r="B23" s="6" t="s">
        <v>65</v>
      </c>
      <c r="C23" s="6" t="s">
        <v>150</v>
      </c>
      <c r="D23" s="6" t="s">
        <v>165</v>
      </c>
      <c r="E23" s="6" t="n">
        <v>140</v>
      </c>
      <c r="F23" s="6" t="n">
        <v>50</v>
      </c>
      <c r="G23" s="6" t="n">
        <v>100</v>
      </c>
      <c r="H23" s="6" t="n">
        <v>40</v>
      </c>
      <c r="I23" s="6" t="s">
        <v>215</v>
      </c>
      <c r="J23" s="6" t="s">
        <v>216</v>
      </c>
      <c r="K23" s="6" t="s">
        <v>154</v>
      </c>
      <c r="L23" s="6"/>
    </row>
    <row r="24" customFormat="false" ht="15" hidden="false" customHeight="false" outlineLevel="0" collapsed="false">
      <c r="A24" s="6" t="s">
        <v>217</v>
      </c>
      <c r="B24" s="6" t="s">
        <v>65</v>
      </c>
      <c r="C24" s="6" t="s">
        <v>218</v>
      </c>
      <c r="D24" s="6" t="s">
        <v>165</v>
      </c>
      <c r="E24" s="6" t="n">
        <v>140</v>
      </c>
      <c r="F24" s="6" t="n">
        <v>80</v>
      </c>
      <c r="G24" s="6" t="n">
        <v>120</v>
      </c>
      <c r="H24" s="6" t="n">
        <v>70</v>
      </c>
      <c r="I24" s="6" t="s">
        <v>219</v>
      </c>
      <c r="J24" s="6" t="s">
        <v>220</v>
      </c>
      <c r="K24" s="6" t="s">
        <v>154</v>
      </c>
      <c r="L24" s="6" t="s">
        <v>221</v>
      </c>
    </row>
    <row r="25" customFormat="false" ht="15" hidden="false" customHeight="false" outlineLevel="0" collapsed="false">
      <c r="A25" s="6" t="s">
        <v>222</v>
      </c>
      <c r="B25" s="6" t="s">
        <v>65</v>
      </c>
      <c r="C25" s="6" t="s">
        <v>223</v>
      </c>
      <c r="D25" s="6" t="s">
        <v>165</v>
      </c>
      <c r="E25" s="6" t="n">
        <v>130</v>
      </c>
      <c r="F25" s="6" t="n">
        <v>50</v>
      </c>
      <c r="G25" s="6" t="n">
        <v>100</v>
      </c>
      <c r="H25" s="6" t="n">
        <v>40</v>
      </c>
      <c r="I25" s="6" t="s">
        <v>224</v>
      </c>
      <c r="J25" s="6" t="s">
        <v>225</v>
      </c>
      <c r="K25" s="6" t="s">
        <v>154</v>
      </c>
      <c r="L25" s="6" t="s">
        <v>226</v>
      </c>
    </row>
    <row r="26" customFormat="false" ht="15" hidden="false" customHeight="false" outlineLevel="0" collapsed="false">
      <c r="A26" s="6" t="s">
        <v>227</v>
      </c>
      <c r="B26" s="6" t="s">
        <v>65</v>
      </c>
      <c r="C26" s="6" t="s">
        <v>228</v>
      </c>
      <c r="D26" s="6" t="s">
        <v>165</v>
      </c>
      <c r="E26" s="6" t="n">
        <v>120</v>
      </c>
      <c r="F26" s="6" t="n">
        <v>60</v>
      </c>
      <c r="G26" s="6" t="n">
        <v>100</v>
      </c>
      <c r="H26" s="6" t="n">
        <v>50</v>
      </c>
      <c r="I26" s="6" t="s">
        <v>229</v>
      </c>
      <c r="J26" s="6" t="s">
        <v>230</v>
      </c>
      <c r="K26" s="6" t="s">
        <v>154</v>
      </c>
      <c r="L26" s="6"/>
    </row>
    <row r="27" customFormat="false" ht="15" hidden="false" customHeight="false" outlineLevel="0" collapsed="false">
      <c r="A27" s="6" t="s">
        <v>231</v>
      </c>
      <c r="B27" s="6" t="s">
        <v>65</v>
      </c>
      <c r="C27" s="6" t="s">
        <v>232</v>
      </c>
      <c r="D27" s="6" t="s">
        <v>165</v>
      </c>
      <c r="E27" s="6" t="n">
        <v>90</v>
      </c>
      <c r="F27" s="6" t="n">
        <v>60</v>
      </c>
      <c r="G27" s="6" t="n">
        <v>70</v>
      </c>
      <c r="H27" s="6" t="n">
        <v>50</v>
      </c>
      <c r="I27" s="6" t="s">
        <v>233</v>
      </c>
      <c r="J27" s="6" t="s">
        <v>234</v>
      </c>
      <c r="K27" s="6" t="s">
        <v>154</v>
      </c>
      <c r="L27" s="6" t="s">
        <v>235</v>
      </c>
    </row>
    <row r="28" customFormat="false" ht="15" hidden="false" customHeight="false" outlineLevel="0" collapsed="false">
      <c r="A28" s="6" t="s">
        <v>236</v>
      </c>
      <c r="B28" s="6" t="s">
        <v>65</v>
      </c>
      <c r="C28" s="6" t="s">
        <v>237</v>
      </c>
      <c r="D28" s="6" t="s">
        <v>165</v>
      </c>
      <c r="E28" s="6" t="n">
        <v>150</v>
      </c>
      <c r="F28" s="6" t="n">
        <v>50</v>
      </c>
      <c r="G28" s="6" t="n">
        <v>110</v>
      </c>
      <c r="H28" s="6" t="n">
        <v>40</v>
      </c>
      <c r="I28" s="6" t="s">
        <v>215</v>
      </c>
      <c r="J28" s="6" t="s">
        <v>216</v>
      </c>
      <c r="K28" s="6" t="s">
        <v>154</v>
      </c>
      <c r="L28" s="6" t="s">
        <v>238</v>
      </c>
    </row>
    <row r="29" customFormat="false" ht="15" hidden="false" customHeight="false" outlineLevel="0" collapsed="false">
      <c r="A29" s="6" t="s">
        <v>239</v>
      </c>
      <c r="B29" s="6" t="s">
        <v>65</v>
      </c>
      <c r="C29" s="6" t="s">
        <v>240</v>
      </c>
      <c r="D29" s="6" t="s">
        <v>241</v>
      </c>
      <c r="E29" s="6" t="n">
        <v>36</v>
      </c>
      <c r="F29" s="6" t="n">
        <v>36</v>
      </c>
      <c r="G29" s="6" t="n">
        <v>30</v>
      </c>
      <c r="H29" s="6" t="n">
        <v>30</v>
      </c>
      <c r="I29" s="6" t="s">
        <v>205</v>
      </c>
      <c r="J29" s="6" t="s">
        <v>242</v>
      </c>
      <c r="K29" s="6" t="s">
        <v>243</v>
      </c>
      <c r="L29" s="6" t="s">
        <v>244</v>
      </c>
    </row>
    <row r="30" customFormat="false" ht="15" hidden="false" customHeight="false" outlineLevel="0" collapsed="false">
      <c r="A30" s="6" t="s">
        <v>245</v>
      </c>
      <c r="B30" s="6" t="s">
        <v>65</v>
      </c>
      <c r="C30" s="6" t="s">
        <v>246</v>
      </c>
      <c r="D30" s="6" t="s">
        <v>165</v>
      </c>
      <c r="E30" s="6" t="n">
        <v>900</v>
      </c>
      <c r="F30" s="6" t="n">
        <v>160</v>
      </c>
      <c r="G30" s="6" t="n">
        <v>400</v>
      </c>
      <c r="H30" s="6" t="n">
        <v>120</v>
      </c>
      <c r="I30" s="6" t="s">
        <v>247</v>
      </c>
      <c r="J30" s="6" t="s">
        <v>242</v>
      </c>
      <c r="K30" s="6" t="s">
        <v>207</v>
      </c>
      <c r="L30" s="6" t="s">
        <v>248</v>
      </c>
    </row>
    <row r="31" customFormat="false" ht="15" hidden="false" customHeight="false" outlineLevel="0" collapsed="false">
      <c r="A31" s="7" t="s">
        <v>100</v>
      </c>
      <c r="B31" s="7" t="s">
        <v>89</v>
      </c>
      <c r="C31" s="7" t="s">
        <v>249</v>
      </c>
      <c r="D31" s="7" t="s">
        <v>250</v>
      </c>
      <c r="E31" s="7" t="n">
        <v>170</v>
      </c>
      <c r="F31" s="7" t="n">
        <v>64</v>
      </c>
      <c r="G31" s="7" t="n">
        <v>150</v>
      </c>
      <c r="H31" s="7" t="n">
        <v>56</v>
      </c>
      <c r="I31" s="7" t="s">
        <v>205</v>
      </c>
      <c r="J31" s="7" t="s">
        <v>251</v>
      </c>
      <c r="K31" s="7" t="s">
        <v>243</v>
      </c>
      <c r="L31" s="7" t="s">
        <v>252</v>
      </c>
    </row>
    <row r="32" customFormat="false" ht="15" hidden="false" customHeight="false" outlineLevel="0" collapsed="false">
      <c r="A32" s="7" t="s">
        <v>253</v>
      </c>
      <c r="B32" s="7" t="s">
        <v>89</v>
      </c>
      <c r="C32" s="7" t="s">
        <v>150</v>
      </c>
      <c r="D32" s="7" t="s">
        <v>254</v>
      </c>
      <c r="E32" s="7" t="n">
        <v>400</v>
      </c>
      <c r="F32" s="7" t="n">
        <v>300</v>
      </c>
      <c r="G32" s="7" t="n">
        <v>200</v>
      </c>
      <c r="H32" s="7" t="n">
        <v>120</v>
      </c>
      <c r="I32" s="7" t="s">
        <v>255</v>
      </c>
      <c r="J32" s="7" t="s">
        <v>256</v>
      </c>
      <c r="K32" s="7" t="s">
        <v>207</v>
      </c>
      <c r="L32" s="7"/>
    </row>
    <row r="33" customFormat="false" ht="15" hidden="false" customHeight="false" outlineLevel="0" collapsed="false">
      <c r="A33" s="8" t="s">
        <v>257</v>
      </c>
      <c r="B33" s="8" t="s">
        <v>105</v>
      </c>
      <c r="C33" s="8" t="s">
        <v>257</v>
      </c>
      <c r="D33" s="8" t="s">
        <v>165</v>
      </c>
      <c r="E33" s="8" t="n">
        <v>140</v>
      </c>
      <c r="F33" s="8" t="n">
        <v>80</v>
      </c>
      <c r="G33" s="8" t="n">
        <v>110</v>
      </c>
      <c r="H33" s="8" t="n">
        <v>60</v>
      </c>
      <c r="I33" s="8" t="s">
        <v>247</v>
      </c>
      <c r="J33" s="8" t="s">
        <v>242</v>
      </c>
      <c r="K33" s="8" t="s">
        <v>243</v>
      </c>
      <c r="L33" s="8" t="s">
        <v>258</v>
      </c>
    </row>
    <row r="34" customFormat="false" ht="15" hidden="false" customHeight="false" outlineLevel="0" collapsed="false">
      <c r="A34" s="8" t="s">
        <v>259</v>
      </c>
      <c r="B34" s="8" t="s">
        <v>105</v>
      </c>
      <c r="C34" s="8" t="s">
        <v>150</v>
      </c>
      <c r="D34" s="8" t="s">
        <v>260</v>
      </c>
      <c r="E34" s="8" t="n">
        <v>110</v>
      </c>
      <c r="F34" s="8" t="n">
        <v>60</v>
      </c>
      <c r="G34" s="8" t="n">
        <v>90</v>
      </c>
      <c r="H34" s="8" t="n">
        <v>50</v>
      </c>
      <c r="I34" s="8" t="s">
        <v>224</v>
      </c>
      <c r="J34" s="8" t="s">
        <v>225</v>
      </c>
      <c r="K34" s="8" t="s">
        <v>243</v>
      </c>
      <c r="L34" s="8"/>
    </row>
    <row r="35" customFormat="false" ht="15" hidden="false" customHeight="false" outlineLevel="0" collapsed="false">
      <c r="A35" s="8" t="s">
        <v>261</v>
      </c>
      <c r="B35" s="8" t="s">
        <v>105</v>
      </c>
      <c r="C35" s="8" t="s">
        <v>262</v>
      </c>
      <c r="D35" s="8" t="s">
        <v>165</v>
      </c>
      <c r="E35" s="8" t="n">
        <v>70</v>
      </c>
      <c r="F35" s="8" t="n">
        <v>70</v>
      </c>
      <c r="G35" s="8" t="n">
        <v>60</v>
      </c>
      <c r="H35" s="8" t="n">
        <v>60</v>
      </c>
      <c r="I35" s="8" t="s">
        <v>215</v>
      </c>
      <c r="J35" s="8" t="s">
        <v>216</v>
      </c>
      <c r="K35" s="8" t="s">
        <v>243</v>
      </c>
      <c r="L35" s="8"/>
    </row>
    <row r="36" customFormat="false" ht="15" hidden="false" customHeight="false" outlineLevel="0" collapsed="false">
      <c r="A36" s="8" t="s">
        <v>263</v>
      </c>
      <c r="B36" s="8" t="s">
        <v>105</v>
      </c>
      <c r="C36" s="8" t="s">
        <v>150</v>
      </c>
      <c r="D36" s="8" t="s">
        <v>264</v>
      </c>
      <c r="E36" s="8" t="n">
        <v>100</v>
      </c>
      <c r="F36" s="8" t="n">
        <v>50</v>
      </c>
      <c r="G36" s="8" t="n">
        <v>80</v>
      </c>
      <c r="H36" s="8" t="n">
        <v>40</v>
      </c>
      <c r="I36" s="8" t="s">
        <v>215</v>
      </c>
      <c r="J36" s="8" t="s">
        <v>216</v>
      </c>
      <c r="K36" s="8" t="s">
        <v>243</v>
      </c>
      <c r="L36" s="8"/>
    </row>
    <row r="37" customFormat="false" ht="15" hidden="false" customHeight="false" outlineLevel="0" collapsed="false">
      <c r="A37" s="8" t="s">
        <v>265</v>
      </c>
      <c r="B37" s="8" t="s">
        <v>105</v>
      </c>
      <c r="C37" s="8" t="s">
        <v>150</v>
      </c>
      <c r="D37" s="8" t="s">
        <v>266</v>
      </c>
      <c r="E37" s="8" t="n">
        <v>110</v>
      </c>
      <c r="F37" s="8" t="n">
        <v>55</v>
      </c>
      <c r="G37" s="8" t="n">
        <v>90</v>
      </c>
      <c r="H37" s="8" t="n">
        <v>45</v>
      </c>
      <c r="I37" s="8" t="s">
        <v>211</v>
      </c>
      <c r="J37" s="8" t="s">
        <v>212</v>
      </c>
      <c r="K37" s="8" t="s">
        <v>243</v>
      </c>
      <c r="L37" s="8"/>
    </row>
    <row r="38" customFormat="false" ht="15" hidden="false" customHeight="false" outlineLevel="0" collapsed="false">
      <c r="A38" s="8" t="s">
        <v>267</v>
      </c>
      <c r="B38" s="8" t="s">
        <v>105</v>
      </c>
      <c r="C38" s="8" t="s">
        <v>268</v>
      </c>
      <c r="D38" s="8" t="s">
        <v>269</v>
      </c>
      <c r="E38" s="8" t="n">
        <v>120</v>
      </c>
      <c r="F38" s="8" t="n">
        <v>60</v>
      </c>
      <c r="G38" s="8" t="n">
        <v>100</v>
      </c>
      <c r="H38" s="8" t="n">
        <v>50</v>
      </c>
      <c r="I38" s="8" t="s">
        <v>233</v>
      </c>
      <c r="J38" s="8" t="s">
        <v>234</v>
      </c>
      <c r="K38" s="8" t="s">
        <v>243</v>
      </c>
      <c r="L38" s="8"/>
    </row>
    <row r="39" customFormat="false" ht="15" hidden="false" customHeight="false" outlineLevel="0" collapsed="false">
      <c r="A39" s="8" t="s">
        <v>270</v>
      </c>
      <c r="B39" s="8" t="s">
        <v>105</v>
      </c>
      <c r="C39" s="8" t="s">
        <v>203</v>
      </c>
      <c r="D39" s="8" t="s">
        <v>204</v>
      </c>
      <c r="E39" s="8" t="n">
        <v>600</v>
      </c>
      <c r="F39" s="8" t="n">
        <v>220</v>
      </c>
      <c r="G39" s="8" t="n">
        <v>300</v>
      </c>
      <c r="H39" s="8" t="n">
        <v>150</v>
      </c>
      <c r="I39" s="8" t="s">
        <v>271</v>
      </c>
      <c r="J39" s="8" t="s">
        <v>272</v>
      </c>
      <c r="K39" s="8" t="s">
        <v>207</v>
      </c>
      <c r="L39" s="8" t="s">
        <v>273</v>
      </c>
    </row>
    <row r="40" customFormat="false" ht="15" hidden="false" customHeight="false" outlineLevel="0" collapsed="false">
      <c r="A40" s="9" t="s">
        <v>274</v>
      </c>
      <c r="B40" s="9" t="s">
        <v>122</v>
      </c>
      <c r="C40" s="9" t="s">
        <v>275</v>
      </c>
      <c r="D40" s="9" t="s">
        <v>276</v>
      </c>
      <c r="E40" s="9" t="n">
        <v>180</v>
      </c>
      <c r="F40" s="9" t="n">
        <v>30</v>
      </c>
      <c r="G40" s="9" t="n">
        <v>160</v>
      </c>
      <c r="H40" s="9" t="n">
        <v>30</v>
      </c>
      <c r="I40" s="9" t="s">
        <v>205</v>
      </c>
      <c r="J40" s="9" t="s">
        <v>277</v>
      </c>
      <c r="K40" s="9" t="s">
        <v>278</v>
      </c>
      <c r="L40" s="9" t="s">
        <v>279</v>
      </c>
    </row>
    <row r="41" customFormat="false" ht="15" hidden="false" customHeight="false" outlineLevel="0" collapsed="false">
      <c r="A41" s="9" t="s">
        <v>280</v>
      </c>
      <c r="B41" s="9" t="s">
        <v>122</v>
      </c>
      <c r="C41" s="9" t="s">
        <v>281</v>
      </c>
      <c r="D41" s="9" t="s">
        <v>278</v>
      </c>
      <c r="E41" s="9" t="n">
        <v>180</v>
      </c>
      <c r="F41" s="9" t="n">
        <v>30</v>
      </c>
      <c r="G41" s="9" t="n">
        <v>160</v>
      </c>
      <c r="H41" s="9" t="n">
        <v>30</v>
      </c>
      <c r="I41" s="9" t="s">
        <v>282</v>
      </c>
      <c r="J41" s="9" t="s">
        <v>283</v>
      </c>
      <c r="K41" s="9" t="s">
        <v>278</v>
      </c>
      <c r="L41" s="9"/>
    </row>
  </sheetData>
  <autoFilter ref="A1:L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6" min="5" style="0" width="14"/>
    <col collapsed="false" customWidth="true" hidden="false" outlineLevel="0" max="7" min="7" style="0" width="20"/>
    <col collapsed="false" customWidth="true" hidden="false" outlineLevel="0" max="8" min="8" style="0" width="18"/>
    <col collapsed="false" customWidth="true" hidden="false" outlineLevel="0" max="9" min="9" style="0" width="10"/>
    <col collapsed="false" customWidth="true" hidden="false" outlineLevel="0" max="10" min="10" style="0" width="52"/>
  </cols>
  <sheetData>
    <row r="1" customFormat="false" ht="23.85" hidden="false" customHeight="false" outlineLevel="0" collapsed="false">
      <c r="A1" s="4" t="s">
        <v>284</v>
      </c>
      <c r="B1" s="4" t="s">
        <v>23</v>
      </c>
      <c r="C1" s="4" t="s">
        <v>285</v>
      </c>
      <c r="D1" s="4" t="s">
        <v>286</v>
      </c>
      <c r="E1" s="4" t="s">
        <v>287</v>
      </c>
      <c r="F1" s="4" t="s">
        <v>288</v>
      </c>
      <c r="G1" s="4" t="s">
        <v>289</v>
      </c>
      <c r="H1" s="4" t="s">
        <v>290</v>
      </c>
      <c r="I1" s="4" t="s">
        <v>291</v>
      </c>
      <c r="J1" s="4" t="s">
        <v>292</v>
      </c>
    </row>
    <row r="2" customFormat="false" ht="15" hidden="false" customHeight="false" outlineLevel="0" collapsed="false">
      <c r="A2" s="5" t="s">
        <v>293</v>
      </c>
      <c r="B2" s="5" t="s">
        <v>32</v>
      </c>
      <c r="C2" s="5" t="s">
        <v>294</v>
      </c>
      <c r="D2" s="5" t="n">
        <v>1</v>
      </c>
      <c r="E2" s="5" t="s">
        <v>295</v>
      </c>
      <c r="F2" s="5" t="s">
        <v>165</v>
      </c>
      <c r="G2" s="5" t="s">
        <v>296</v>
      </c>
      <c r="H2" s="5" t="s">
        <v>165</v>
      </c>
      <c r="I2" s="5" t="s">
        <v>277</v>
      </c>
      <c r="J2" s="5" t="s">
        <v>297</v>
      </c>
    </row>
    <row r="3" customFormat="false" ht="15" hidden="false" customHeight="false" outlineLevel="0" collapsed="false">
      <c r="A3" s="5" t="s">
        <v>298</v>
      </c>
      <c r="B3" s="5" t="s">
        <v>32</v>
      </c>
      <c r="C3" s="5" t="s">
        <v>294</v>
      </c>
      <c r="D3" s="5" t="n">
        <v>1</v>
      </c>
      <c r="E3" s="5" t="s">
        <v>299</v>
      </c>
      <c r="F3" s="5" t="s">
        <v>165</v>
      </c>
      <c r="G3" s="5" t="s">
        <v>296</v>
      </c>
      <c r="H3" s="5" t="s">
        <v>165</v>
      </c>
      <c r="I3" s="5" t="s">
        <v>277</v>
      </c>
      <c r="J3" s="5" t="s">
        <v>300</v>
      </c>
    </row>
    <row r="4" customFormat="false" ht="15" hidden="false" customHeight="false" outlineLevel="0" collapsed="false">
      <c r="A4" s="5" t="s">
        <v>301</v>
      </c>
      <c r="B4" s="5" t="s">
        <v>32</v>
      </c>
      <c r="C4" s="5" t="s">
        <v>294</v>
      </c>
      <c r="D4" s="5" t="n">
        <v>1</v>
      </c>
      <c r="E4" s="5" t="s">
        <v>302</v>
      </c>
      <c r="F4" s="5" t="s">
        <v>303</v>
      </c>
      <c r="G4" s="5" t="s">
        <v>296</v>
      </c>
      <c r="H4" s="5" t="s">
        <v>165</v>
      </c>
      <c r="I4" s="5" t="s">
        <v>277</v>
      </c>
      <c r="J4" s="5" t="s">
        <v>304</v>
      </c>
    </row>
    <row r="5" customFormat="false" ht="15" hidden="false" customHeight="false" outlineLevel="0" collapsed="false">
      <c r="A5" s="5" t="s">
        <v>305</v>
      </c>
      <c r="B5" s="5" t="s">
        <v>32</v>
      </c>
      <c r="C5" s="5" t="s">
        <v>306</v>
      </c>
      <c r="D5" s="5" t="n">
        <v>1</v>
      </c>
      <c r="E5" s="5" t="s">
        <v>165</v>
      </c>
      <c r="F5" s="5" t="s">
        <v>307</v>
      </c>
      <c r="G5" s="5" t="s">
        <v>296</v>
      </c>
      <c r="H5" s="5" t="s">
        <v>165</v>
      </c>
      <c r="I5" s="5" t="s">
        <v>277</v>
      </c>
      <c r="J5" s="5" t="s">
        <v>308</v>
      </c>
    </row>
    <row r="6" customFormat="false" ht="15" hidden="false" customHeight="false" outlineLevel="0" collapsed="false">
      <c r="A6" s="5" t="s">
        <v>309</v>
      </c>
      <c r="B6" s="5" t="s">
        <v>32</v>
      </c>
      <c r="C6" s="5" t="s">
        <v>294</v>
      </c>
      <c r="D6" s="5" t="n">
        <v>1</v>
      </c>
      <c r="E6" s="5" t="s">
        <v>165</v>
      </c>
      <c r="F6" s="5" t="s">
        <v>303</v>
      </c>
      <c r="G6" s="5" t="s">
        <v>296</v>
      </c>
      <c r="H6" s="5" t="s">
        <v>310</v>
      </c>
      <c r="I6" s="5" t="s">
        <v>277</v>
      </c>
      <c r="J6" s="5" t="s">
        <v>311</v>
      </c>
    </row>
    <row r="7" customFormat="false" ht="15" hidden="false" customHeight="false" outlineLevel="0" collapsed="false">
      <c r="A7" s="5" t="s">
        <v>312</v>
      </c>
      <c r="B7" s="5" t="s">
        <v>32</v>
      </c>
      <c r="C7" s="5" t="s">
        <v>313</v>
      </c>
      <c r="D7" s="5" t="n">
        <v>1</v>
      </c>
      <c r="E7" s="5" t="s">
        <v>165</v>
      </c>
      <c r="F7" s="5" t="s">
        <v>303</v>
      </c>
      <c r="G7" s="5" t="s">
        <v>296</v>
      </c>
      <c r="H7" s="5" t="s">
        <v>165</v>
      </c>
      <c r="I7" s="5" t="s">
        <v>277</v>
      </c>
      <c r="J7" s="5" t="s">
        <v>314</v>
      </c>
    </row>
    <row r="8" customFormat="false" ht="15" hidden="false" customHeight="false" outlineLevel="0" collapsed="false">
      <c r="A8" s="5" t="s">
        <v>315</v>
      </c>
      <c r="B8" s="5" t="s">
        <v>32</v>
      </c>
      <c r="C8" s="5" t="s">
        <v>294</v>
      </c>
      <c r="D8" s="5" t="n">
        <v>1</v>
      </c>
      <c r="E8" s="5" t="s">
        <v>165</v>
      </c>
      <c r="F8" s="5" t="s">
        <v>316</v>
      </c>
      <c r="G8" s="5" t="s">
        <v>296</v>
      </c>
      <c r="H8" s="5" t="s">
        <v>165</v>
      </c>
      <c r="I8" s="5" t="s">
        <v>277</v>
      </c>
      <c r="J8" s="5" t="s">
        <v>317</v>
      </c>
    </row>
    <row r="9" customFormat="false" ht="15" hidden="false" customHeight="false" outlineLevel="0" collapsed="false">
      <c r="A9" s="5" t="s">
        <v>318</v>
      </c>
      <c r="B9" s="5" t="s">
        <v>32</v>
      </c>
      <c r="C9" s="5" t="s">
        <v>306</v>
      </c>
      <c r="D9" s="5" t="n">
        <v>1</v>
      </c>
      <c r="E9" s="5" t="s">
        <v>165</v>
      </c>
      <c r="F9" s="5" t="s">
        <v>316</v>
      </c>
      <c r="G9" s="5" t="s">
        <v>296</v>
      </c>
      <c r="H9" s="5" t="s">
        <v>310</v>
      </c>
      <c r="I9" s="5" t="s">
        <v>277</v>
      </c>
      <c r="J9" s="5" t="s">
        <v>319</v>
      </c>
    </row>
    <row r="10" customFormat="false" ht="15" hidden="false" customHeight="false" outlineLevel="0" collapsed="false">
      <c r="A10" s="5" t="s">
        <v>320</v>
      </c>
      <c r="B10" s="5" t="s">
        <v>32</v>
      </c>
      <c r="C10" s="5" t="s">
        <v>294</v>
      </c>
      <c r="D10" s="5" t="n">
        <v>1</v>
      </c>
      <c r="E10" s="5" t="s">
        <v>165</v>
      </c>
      <c r="F10" s="5" t="s">
        <v>165</v>
      </c>
      <c r="G10" s="5" t="s">
        <v>321</v>
      </c>
      <c r="H10" s="5" t="s">
        <v>310</v>
      </c>
      <c r="I10" s="5" t="s">
        <v>277</v>
      </c>
      <c r="J10" s="5" t="s">
        <v>322</v>
      </c>
    </row>
    <row r="11" customFormat="false" ht="15" hidden="false" customHeight="false" outlineLevel="0" collapsed="false">
      <c r="A11" s="5" t="s">
        <v>323</v>
      </c>
      <c r="B11" s="5" t="s">
        <v>32</v>
      </c>
      <c r="C11" s="5" t="s">
        <v>294</v>
      </c>
      <c r="D11" s="5" t="n">
        <v>1</v>
      </c>
      <c r="E11" s="5" t="s">
        <v>165</v>
      </c>
      <c r="F11" s="5" t="s">
        <v>307</v>
      </c>
      <c r="G11" s="5" t="s">
        <v>296</v>
      </c>
      <c r="H11" s="5" t="s">
        <v>165</v>
      </c>
      <c r="I11" s="5" t="s">
        <v>277</v>
      </c>
      <c r="J11" s="5" t="s">
        <v>324</v>
      </c>
    </row>
    <row r="12" customFormat="false" ht="15" hidden="false" customHeight="false" outlineLevel="0" collapsed="false">
      <c r="A12" s="6" t="s">
        <v>325</v>
      </c>
      <c r="B12" s="6" t="s">
        <v>65</v>
      </c>
      <c r="C12" s="6" t="s">
        <v>294</v>
      </c>
      <c r="D12" s="6" t="n">
        <v>1</v>
      </c>
      <c r="E12" s="6" t="s">
        <v>165</v>
      </c>
      <c r="F12" s="6" t="s">
        <v>316</v>
      </c>
      <c r="G12" s="6" t="s">
        <v>296</v>
      </c>
      <c r="H12" s="6" t="s">
        <v>326</v>
      </c>
      <c r="I12" s="6" t="s">
        <v>277</v>
      </c>
      <c r="J12" s="6" t="s">
        <v>327</v>
      </c>
    </row>
    <row r="13" customFormat="false" ht="15" hidden="false" customHeight="false" outlineLevel="0" collapsed="false">
      <c r="A13" s="6" t="s">
        <v>328</v>
      </c>
      <c r="B13" s="6" t="s">
        <v>65</v>
      </c>
      <c r="C13" s="6" t="s">
        <v>306</v>
      </c>
      <c r="D13" s="6" t="n">
        <v>1</v>
      </c>
      <c r="E13" s="6" t="s">
        <v>329</v>
      </c>
      <c r="F13" s="6" t="s">
        <v>303</v>
      </c>
      <c r="G13" s="6" t="s">
        <v>296</v>
      </c>
      <c r="H13" s="6" t="s">
        <v>310</v>
      </c>
      <c r="I13" s="6" t="s">
        <v>242</v>
      </c>
      <c r="J13" s="6" t="s">
        <v>330</v>
      </c>
    </row>
    <row r="14" customFormat="false" ht="15" hidden="false" customHeight="false" outlineLevel="0" collapsed="false">
      <c r="A14" s="7" t="s">
        <v>93</v>
      </c>
      <c r="B14" s="7" t="s">
        <v>89</v>
      </c>
      <c r="C14" s="7" t="s">
        <v>294</v>
      </c>
      <c r="D14" s="7" t="n">
        <v>1</v>
      </c>
      <c r="E14" s="7" t="s">
        <v>165</v>
      </c>
      <c r="F14" s="7" t="s">
        <v>165</v>
      </c>
      <c r="G14" s="7" t="s">
        <v>331</v>
      </c>
      <c r="H14" s="7" t="s">
        <v>165</v>
      </c>
      <c r="I14" s="7" t="s">
        <v>251</v>
      </c>
      <c r="J14" s="7" t="s">
        <v>332</v>
      </c>
    </row>
    <row r="15" customFormat="false" ht="23.85" hidden="false" customHeight="false" outlineLevel="0" collapsed="false">
      <c r="A15" s="7" t="s">
        <v>333</v>
      </c>
      <c r="B15" s="7" t="s">
        <v>89</v>
      </c>
      <c r="C15" s="7" t="s">
        <v>306</v>
      </c>
      <c r="D15" s="7" t="n">
        <v>1</v>
      </c>
      <c r="E15" s="7" t="s">
        <v>165</v>
      </c>
      <c r="F15" s="7" t="s">
        <v>165</v>
      </c>
      <c r="G15" s="7" t="s">
        <v>334</v>
      </c>
      <c r="H15" s="7" t="s">
        <v>165</v>
      </c>
      <c r="I15" s="7" t="s">
        <v>272</v>
      </c>
      <c r="J15" s="7" t="s">
        <v>335</v>
      </c>
    </row>
    <row r="16" customFormat="false" ht="15" hidden="false" customHeight="false" outlineLevel="0" collapsed="false">
      <c r="A16" s="8" t="s">
        <v>336</v>
      </c>
      <c r="B16" s="8" t="s">
        <v>105</v>
      </c>
      <c r="C16" s="8" t="s">
        <v>294</v>
      </c>
      <c r="D16" s="8" t="n">
        <v>2</v>
      </c>
      <c r="E16" s="8" t="s">
        <v>165</v>
      </c>
      <c r="F16" s="8" t="s">
        <v>165</v>
      </c>
      <c r="G16" s="8" t="s">
        <v>321</v>
      </c>
      <c r="H16" s="8" t="s">
        <v>337</v>
      </c>
      <c r="I16" s="8" t="s">
        <v>277</v>
      </c>
      <c r="J16" s="8" t="s">
        <v>338</v>
      </c>
    </row>
    <row r="17" customFormat="false" ht="15" hidden="false" customHeight="false" outlineLevel="0" collapsed="false">
      <c r="A17" s="8" t="s">
        <v>339</v>
      </c>
      <c r="B17" s="8" t="s">
        <v>105</v>
      </c>
      <c r="C17" s="8" t="s">
        <v>306</v>
      </c>
      <c r="D17" s="8" t="n">
        <v>1</v>
      </c>
      <c r="E17" s="8" t="s">
        <v>165</v>
      </c>
      <c r="F17" s="8" t="s">
        <v>165</v>
      </c>
      <c r="G17" s="8" t="s">
        <v>321</v>
      </c>
      <c r="H17" s="8" t="s">
        <v>310</v>
      </c>
      <c r="I17" s="8" t="s">
        <v>216</v>
      </c>
      <c r="J17" s="8" t="s">
        <v>340</v>
      </c>
    </row>
    <row r="18" customFormat="false" ht="15" hidden="false" customHeight="false" outlineLevel="0" collapsed="false">
      <c r="A18" s="8" t="s">
        <v>341</v>
      </c>
      <c r="B18" s="8" t="s">
        <v>105</v>
      </c>
      <c r="C18" s="8" t="s">
        <v>342</v>
      </c>
      <c r="D18" s="8" t="n">
        <v>2</v>
      </c>
      <c r="E18" s="8" t="s">
        <v>165</v>
      </c>
      <c r="F18" s="8" t="s">
        <v>165</v>
      </c>
      <c r="G18" s="8" t="s">
        <v>343</v>
      </c>
      <c r="H18" s="8" t="s">
        <v>310</v>
      </c>
      <c r="I18" s="8" t="s">
        <v>234</v>
      </c>
      <c r="J18" s="8" t="s">
        <v>344</v>
      </c>
    </row>
    <row r="19" customFormat="false" ht="15" hidden="false" customHeight="false" outlineLevel="0" collapsed="false">
      <c r="A19" s="9" t="s">
        <v>345</v>
      </c>
      <c r="B19" s="9" t="s">
        <v>122</v>
      </c>
      <c r="C19" s="9" t="s">
        <v>294</v>
      </c>
      <c r="D19" s="9" t="n">
        <v>1</v>
      </c>
      <c r="E19" s="9" t="s">
        <v>346</v>
      </c>
      <c r="F19" s="9" t="s">
        <v>347</v>
      </c>
      <c r="G19" s="9" t="s">
        <v>296</v>
      </c>
      <c r="H19" s="9" t="s">
        <v>348</v>
      </c>
      <c r="I19" s="9" t="s">
        <v>277</v>
      </c>
      <c r="J19" s="9" t="s">
        <v>349</v>
      </c>
    </row>
    <row r="20" customFormat="false" ht="15" hidden="false" customHeight="false" outlineLevel="0" collapsed="false">
      <c r="A20" s="9" t="s">
        <v>350</v>
      </c>
      <c r="B20" s="9" t="s">
        <v>122</v>
      </c>
      <c r="C20" s="9" t="s">
        <v>294</v>
      </c>
      <c r="D20" s="9" t="n">
        <v>1</v>
      </c>
      <c r="E20" s="9" t="s">
        <v>351</v>
      </c>
      <c r="F20" s="9" t="s">
        <v>351</v>
      </c>
      <c r="G20" s="9" t="s">
        <v>296</v>
      </c>
      <c r="H20" s="9" t="s">
        <v>348</v>
      </c>
      <c r="I20" s="9" t="s">
        <v>277</v>
      </c>
      <c r="J20" s="9" t="s">
        <v>352</v>
      </c>
    </row>
    <row r="21" customFormat="false" ht="15" hidden="false" customHeight="false" outlineLevel="0" collapsed="false">
      <c r="A21" s="9" t="s">
        <v>353</v>
      </c>
      <c r="B21" s="9" t="s">
        <v>122</v>
      </c>
      <c r="C21" s="9" t="s">
        <v>294</v>
      </c>
      <c r="D21" s="9" t="n">
        <v>1</v>
      </c>
      <c r="E21" s="9" t="s">
        <v>354</v>
      </c>
      <c r="F21" s="9" t="s">
        <v>354</v>
      </c>
      <c r="G21" s="9" t="s">
        <v>296</v>
      </c>
      <c r="H21" s="9" t="s">
        <v>348</v>
      </c>
      <c r="I21" s="9" t="s">
        <v>277</v>
      </c>
      <c r="J21" s="9" t="s">
        <v>355</v>
      </c>
    </row>
    <row r="22" customFormat="false" ht="23.85" hidden="false" customHeight="false" outlineLevel="0" collapsed="false">
      <c r="A22" s="9" t="s">
        <v>356</v>
      </c>
      <c r="B22" s="9" t="s">
        <v>122</v>
      </c>
      <c r="C22" s="9" t="s">
        <v>294</v>
      </c>
      <c r="D22" s="9" t="n">
        <v>1</v>
      </c>
      <c r="E22" s="9" t="s">
        <v>165</v>
      </c>
      <c r="F22" s="9" t="s">
        <v>316</v>
      </c>
      <c r="G22" s="9" t="s">
        <v>296</v>
      </c>
      <c r="H22" s="9" t="s">
        <v>357</v>
      </c>
      <c r="I22" s="9" t="s">
        <v>251</v>
      </c>
      <c r="J22" s="9" t="s">
        <v>358</v>
      </c>
    </row>
  </sheetData>
  <autoFilter ref="A1:J2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5"/>
    <col collapsed="false" customWidth="true" hidden="false" outlineLevel="0" max="3" min="3" style="0" width="46"/>
    <col collapsed="false" customWidth="true" hidden="false" outlineLevel="0" max="4" min="4" style="0" width="58"/>
    <col collapsed="false" customWidth="true" hidden="false" outlineLevel="0" max="5" min="5" style="0" width="24"/>
  </cols>
  <sheetData>
    <row r="1" customFormat="false" ht="15" hidden="false" customHeight="false" outlineLevel="0" collapsed="false">
      <c r="A1" s="4" t="s">
        <v>359</v>
      </c>
      <c r="B1" s="4" t="s">
        <v>360</v>
      </c>
      <c r="C1" s="4" t="s">
        <v>361</v>
      </c>
      <c r="D1" s="4" t="s">
        <v>362</v>
      </c>
      <c r="E1" s="4" t="s">
        <v>363</v>
      </c>
    </row>
    <row r="2" customFormat="false" ht="23.85" hidden="false" customHeight="false" outlineLevel="0" collapsed="false">
      <c r="A2" s="10" t="s">
        <v>364</v>
      </c>
      <c r="B2" s="10" t="s">
        <v>365</v>
      </c>
      <c r="C2" s="10" t="s">
        <v>366</v>
      </c>
      <c r="D2" s="10" t="s">
        <v>367</v>
      </c>
      <c r="E2" s="10" t="s">
        <v>368</v>
      </c>
    </row>
    <row r="3" customFormat="false" ht="15" hidden="false" customHeight="false" outlineLevel="0" collapsed="false">
      <c r="A3" s="10" t="s">
        <v>369</v>
      </c>
      <c r="B3" s="10" t="s">
        <v>370</v>
      </c>
      <c r="C3" s="10" t="s">
        <v>371</v>
      </c>
      <c r="D3" s="10" t="s">
        <v>372</v>
      </c>
      <c r="E3" s="10" t="s">
        <v>373</v>
      </c>
    </row>
    <row r="4" customFormat="false" ht="23.85" hidden="false" customHeight="false" outlineLevel="0" collapsed="false">
      <c r="A4" s="10" t="s">
        <v>374</v>
      </c>
      <c r="B4" s="10" t="s">
        <v>375</v>
      </c>
      <c r="C4" s="10" t="s">
        <v>376</v>
      </c>
      <c r="D4" s="10" t="s">
        <v>377</v>
      </c>
      <c r="E4" s="10" t="s">
        <v>373</v>
      </c>
    </row>
    <row r="5" customFormat="false" ht="15" hidden="false" customHeight="false" outlineLevel="0" collapsed="false">
      <c r="A5" s="10" t="s">
        <v>378</v>
      </c>
      <c r="B5" s="10" t="s">
        <v>379</v>
      </c>
      <c r="C5" s="10" t="s">
        <v>380</v>
      </c>
      <c r="D5" s="10" t="s">
        <v>381</v>
      </c>
      <c r="E5" s="10" t="s">
        <v>382</v>
      </c>
    </row>
    <row r="6" customFormat="false" ht="15" hidden="false" customHeight="false" outlineLevel="0" collapsed="false">
      <c r="A6" s="10" t="s">
        <v>383</v>
      </c>
      <c r="B6" s="10" t="s">
        <v>384</v>
      </c>
      <c r="C6" s="10" t="s">
        <v>385</v>
      </c>
      <c r="D6" s="10" t="s">
        <v>386</v>
      </c>
      <c r="E6" s="10" t="s">
        <v>387</v>
      </c>
    </row>
    <row r="7" customFormat="false" ht="15" hidden="false" customHeight="false" outlineLevel="0" collapsed="false">
      <c r="A7" s="10" t="s">
        <v>388</v>
      </c>
      <c r="B7" s="10" t="s">
        <v>389</v>
      </c>
      <c r="C7" s="10" t="s">
        <v>390</v>
      </c>
      <c r="D7" s="10" t="s">
        <v>391</v>
      </c>
      <c r="E7" s="10" t="s">
        <v>217</v>
      </c>
    </row>
    <row r="8" customFormat="false" ht="23.85" hidden="false" customHeight="false" outlineLevel="0" collapsed="false">
      <c r="A8" s="10" t="s">
        <v>392</v>
      </c>
      <c r="B8" s="10" t="s">
        <v>393</v>
      </c>
      <c r="C8" s="10" t="s">
        <v>394</v>
      </c>
      <c r="D8" s="10" t="s">
        <v>395</v>
      </c>
      <c r="E8" s="10" t="s">
        <v>396</v>
      </c>
    </row>
    <row r="9" customFormat="false" ht="23.85" hidden="false" customHeight="false" outlineLevel="0" collapsed="false">
      <c r="A9" s="10" t="s">
        <v>397</v>
      </c>
      <c r="B9" s="10" t="s">
        <v>398</v>
      </c>
      <c r="C9" s="10" t="s">
        <v>399</v>
      </c>
      <c r="D9" s="10" t="s">
        <v>400</v>
      </c>
      <c r="E9" s="10" t="s">
        <v>401</v>
      </c>
    </row>
    <row r="10" customFormat="false" ht="23.85" hidden="false" customHeight="false" outlineLevel="0" collapsed="false">
      <c r="A10" s="10" t="s">
        <v>402</v>
      </c>
      <c r="B10" s="10" t="s">
        <v>403</v>
      </c>
      <c r="C10" s="10" t="s">
        <v>404</v>
      </c>
      <c r="D10" s="10" t="s">
        <v>405</v>
      </c>
      <c r="E10" s="10" t="s">
        <v>245</v>
      </c>
    </row>
    <row r="11" customFormat="false" ht="15" hidden="false" customHeight="false" outlineLevel="0" collapsed="false">
      <c r="A11" s="10" t="s">
        <v>406</v>
      </c>
      <c r="B11" s="10" t="s">
        <v>407</v>
      </c>
      <c r="C11" s="10" t="s">
        <v>408</v>
      </c>
      <c r="D11" s="10" t="s">
        <v>409</v>
      </c>
      <c r="E11" s="10" t="s">
        <v>410</v>
      </c>
    </row>
    <row r="12" customFormat="false" ht="15" hidden="false" customHeight="false" outlineLevel="0" collapsed="false">
      <c r="A12" s="10" t="s">
        <v>411</v>
      </c>
      <c r="B12" s="10" t="s">
        <v>412</v>
      </c>
      <c r="C12" s="10" t="s">
        <v>413</v>
      </c>
      <c r="D12" s="10" t="s">
        <v>414</v>
      </c>
      <c r="E12" s="10" t="s">
        <v>410</v>
      </c>
    </row>
    <row r="13" customFormat="false" ht="15" hidden="false" customHeight="false" outlineLevel="0" collapsed="false">
      <c r="A13" s="10" t="s">
        <v>415</v>
      </c>
      <c r="B13" s="10" t="s">
        <v>416</v>
      </c>
      <c r="C13" s="10" t="s">
        <v>417</v>
      </c>
      <c r="D13" s="10" t="s">
        <v>418</v>
      </c>
      <c r="E13" s="10" t="s">
        <v>289</v>
      </c>
    </row>
    <row r="14" customFormat="false" ht="15" hidden="false" customHeight="false" outlineLevel="0" collapsed="false">
      <c r="A14" s="10" t="s">
        <v>419</v>
      </c>
      <c r="B14" s="10" t="s">
        <v>420</v>
      </c>
      <c r="C14" s="10" t="s">
        <v>421</v>
      </c>
      <c r="D14" s="10" t="s">
        <v>422</v>
      </c>
      <c r="E14" s="10" t="s">
        <v>423</v>
      </c>
    </row>
    <row r="15" customFormat="false" ht="23.85" hidden="false" customHeight="false" outlineLevel="0" collapsed="false">
      <c r="A15" s="10" t="s">
        <v>424</v>
      </c>
      <c r="B15" s="10" t="s">
        <v>425</v>
      </c>
      <c r="C15" s="10" t="s">
        <v>426</v>
      </c>
      <c r="D15" s="10" t="s">
        <v>427</v>
      </c>
      <c r="E15" s="10" t="s">
        <v>428</v>
      </c>
    </row>
    <row r="16" customFormat="false" ht="23.85" hidden="false" customHeight="false" outlineLevel="0" collapsed="false">
      <c r="A16" s="10" t="s">
        <v>429</v>
      </c>
      <c r="B16" s="10" t="s">
        <v>430</v>
      </c>
      <c r="C16" s="10" t="s">
        <v>431</v>
      </c>
      <c r="D16" s="10" t="s">
        <v>432</v>
      </c>
      <c r="E16" s="10" t="s">
        <v>289</v>
      </c>
    </row>
    <row r="17" customFormat="false" ht="15" hidden="false" customHeight="false" outlineLevel="0" collapsed="false">
      <c r="A17" s="10" t="s">
        <v>433</v>
      </c>
      <c r="B17" s="10" t="s">
        <v>434</v>
      </c>
      <c r="C17" s="10" t="s">
        <v>435</v>
      </c>
      <c r="D17" s="10" t="s">
        <v>436</v>
      </c>
      <c r="E17" s="10" t="s">
        <v>428</v>
      </c>
    </row>
  </sheetData>
  <autoFilter ref="A1:E1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3" min="3" style="0" width="34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34"/>
  </cols>
  <sheetData>
    <row r="1" customFormat="false" ht="23.85" hidden="false" customHeight="false" outlineLevel="0" collapsed="false">
      <c r="A1" s="4" t="s">
        <v>437</v>
      </c>
      <c r="B1" s="4" t="s">
        <v>22</v>
      </c>
      <c r="C1" s="4" t="s">
        <v>438</v>
      </c>
      <c r="D1" s="4" t="s">
        <v>439</v>
      </c>
      <c r="E1" s="4" t="s">
        <v>440</v>
      </c>
      <c r="F1" s="4" t="s">
        <v>148</v>
      </c>
    </row>
    <row r="2" customFormat="false" ht="15" hidden="false" customHeight="false" outlineLevel="0" collapsed="false">
      <c r="A2" s="10" t="s">
        <v>441</v>
      </c>
      <c r="B2" s="10" t="s">
        <v>31</v>
      </c>
      <c r="C2" s="10" t="s">
        <v>442</v>
      </c>
      <c r="D2" s="10" t="s">
        <v>443</v>
      </c>
      <c r="E2" s="10" t="s">
        <v>444</v>
      </c>
      <c r="F2" s="10" t="s">
        <v>445</v>
      </c>
    </row>
    <row r="3" customFormat="false" ht="15" hidden="false" customHeight="false" outlineLevel="0" collapsed="false">
      <c r="A3" s="10" t="s">
        <v>446</v>
      </c>
      <c r="B3" s="10" t="s">
        <v>64</v>
      </c>
      <c r="C3" s="10" t="s">
        <v>447</v>
      </c>
      <c r="D3" s="10" t="s">
        <v>448</v>
      </c>
      <c r="E3" s="10" t="s">
        <v>449</v>
      </c>
      <c r="F3" s="10" t="s">
        <v>450</v>
      </c>
    </row>
    <row r="4" customFormat="false" ht="15" hidden="false" customHeight="false" outlineLevel="0" collapsed="false">
      <c r="A4" s="10" t="s">
        <v>451</v>
      </c>
      <c r="B4" s="10" t="s">
        <v>88</v>
      </c>
      <c r="C4" s="10" t="s">
        <v>452</v>
      </c>
      <c r="D4" s="10" t="s">
        <v>448</v>
      </c>
      <c r="E4" s="10" t="s">
        <v>453</v>
      </c>
      <c r="F4" s="10" t="s">
        <v>454</v>
      </c>
    </row>
    <row r="5" customFormat="false" ht="15" hidden="false" customHeight="false" outlineLevel="0" collapsed="false">
      <c r="A5" s="10" t="s">
        <v>455</v>
      </c>
      <c r="B5" s="10" t="s">
        <v>104</v>
      </c>
      <c r="C5" s="10" t="s">
        <v>456</v>
      </c>
      <c r="D5" s="10" t="s">
        <v>457</v>
      </c>
      <c r="E5" s="10" t="s">
        <v>458</v>
      </c>
      <c r="F5" s="10" t="s">
        <v>459</v>
      </c>
    </row>
    <row r="6" customFormat="false" ht="15" hidden="false" customHeight="false" outlineLevel="0" collapsed="false">
      <c r="A6" s="10" t="s">
        <v>460</v>
      </c>
      <c r="B6" s="10" t="s">
        <v>121</v>
      </c>
      <c r="C6" s="10" t="s">
        <v>461</v>
      </c>
      <c r="D6" s="10" t="s">
        <v>462</v>
      </c>
      <c r="E6" s="10" t="s">
        <v>463</v>
      </c>
      <c r="F6" s="10" t="s">
        <v>464</v>
      </c>
    </row>
  </sheetData>
  <autoFilter ref="A1:F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9"/>
    <col collapsed="false" customWidth="true" hidden="false" outlineLevel="0" max="4" min="4" style="0" width="20"/>
    <col collapsed="false" customWidth="true" hidden="false" outlineLevel="0" max="5" min="5" style="0" width="34"/>
    <col collapsed="false" customWidth="true" hidden="false" outlineLevel="0" max="7" min="6" style="0" width="9"/>
    <col collapsed="false" customWidth="true" hidden="false" outlineLevel="0" max="9" min="8" style="0" width="10"/>
    <col collapsed="false" customWidth="true" hidden="false" outlineLevel="0" max="11" min="10" style="0" width="11"/>
    <col collapsed="false" customWidth="true" hidden="false" outlineLevel="0" max="12" min="12" style="0" width="12"/>
    <col collapsed="false" customWidth="true" hidden="false" outlineLevel="0" max="13" min="13" style="0" width="40"/>
  </cols>
  <sheetData>
    <row r="1" customFormat="false" ht="23.85" hidden="false" customHeight="false" outlineLevel="0" collapsed="false">
      <c r="A1" s="4" t="s">
        <v>437</v>
      </c>
      <c r="B1" s="4" t="s">
        <v>465</v>
      </c>
      <c r="C1" s="4" t="s">
        <v>466</v>
      </c>
      <c r="D1" s="4" t="s">
        <v>138</v>
      </c>
      <c r="E1" s="4" t="s">
        <v>467</v>
      </c>
      <c r="F1" s="4" t="s">
        <v>468</v>
      </c>
      <c r="G1" s="4" t="s">
        <v>469</v>
      </c>
      <c r="H1" s="4" t="s">
        <v>470</v>
      </c>
      <c r="I1" s="4" t="s">
        <v>471</v>
      </c>
      <c r="J1" s="4" t="s">
        <v>472</v>
      </c>
      <c r="K1" s="4" t="s">
        <v>473</v>
      </c>
      <c r="L1" s="4" t="s">
        <v>474</v>
      </c>
      <c r="M1" s="4" t="s">
        <v>475</v>
      </c>
    </row>
    <row r="2" customFormat="false" ht="15" hidden="false" customHeight="false" outlineLevel="0" collapsed="false">
      <c r="A2" s="10" t="s">
        <v>441</v>
      </c>
      <c r="B2" s="10" t="s">
        <v>476</v>
      </c>
      <c r="C2" s="10"/>
      <c r="D2" s="10" t="s">
        <v>202</v>
      </c>
      <c r="E2" s="10" t="s">
        <v>477</v>
      </c>
      <c r="F2" s="10" t="n">
        <v>1</v>
      </c>
      <c r="G2" s="10" t="n">
        <v>1</v>
      </c>
      <c r="H2" s="10"/>
      <c r="I2" s="10"/>
      <c r="J2" s="10" t="n">
        <f aca="false">IF(H2&lt;&gt;"",H2,MIN(260,MAX(VLOOKUP(D2,Shape_Library!$A:$H,7,0),LEN(E2)*7+24)))</f>
        <v>200</v>
      </c>
      <c r="K2" s="10" t="n">
        <f aca="false">IF(I2&lt;&gt;"",I2,MAX(VLOOKUP(D2,Shape_Library!$A:$H,8,0),CEILING(LEN(E2)*7/(J2-24),1)*16+20))</f>
        <v>150</v>
      </c>
      <c r="L2" s="10" t="s">
        <v>478</v>
      </c>
      <c r="M2" s="10" t="s">
        <v>479</v>
      </c>
    </row>
    <row r="3" customFormat="false" ht="15" hidden="false" customHeight="false" outlineLevel="0" collapsed="false">
      <c r="A3" s="10" t="s">
        <v>441</v>
      </c>
      <c r="B3" s="10" t="s">
        <v>480</v>
      </c>
      <c r="C3" s="10"/>
      <c r="D3" s="10" t="s">
        <v>202</v>
      </c>
      <c r="E3" s="10" t="s">
        <v>481</v>
      </c>
      <c r="F3" s="10" t="n">
        <v>2</v>
      </c>
      <c r="G3" s="10" t="n">
        <v>1</v>
      </c>
      <c r="H3" s="10"/>
      <c r="I3" s="10"/>
      <c r="J3" s="10" t="n">
        <f aca="false">IF(H3&lt;&gt;"",H3,MIN(260,MAX(VLOOKUP(D3,Shape_Library!$A:$H,7,0),LEN(E3)*7+24)))</f>
        <v>200</v>
      </c>
      <c r="K3" s="10" t="n">
        <f aca="false">IF(I3&lt;&gt;"",I3,MAX(VLOOKUP(D3,Shape_Library!$A:$H,8,0),CEILING(LEN(E3)*7/(J3-24),1)*16+20))</f>
        <v>150</v>
      </c>
      <c r="L3" s="10" t="s">
        <v>482</v>
      </c>
      <c r="M3" s="10" t="s">
        <v>483</v>
      </c>
    </row>
    <row r="4" customFormat="false" ht="15" hidden="false" customHeight="false" outlineLevel="0" collapsed="false">
      <c r="A4" s="10" t="s">
        <v>441</v>
      </c>
      <c r="B4" s="10" t="s">
        <v>484</v>
      </c>
      <c r="C4" s="10"/>
      <c r="D4" s="10" t="s">
        <v>202</v>
      </c>
      <c r="E4" s="10" t="s">
        <v>485</v>
      </c>
      <c r="F4" s="10" t="n">
        <v>3</v>
      </c>
      <c r="G4" s="10" t="n">
        <v>1</v>
      </c>
      <c r="H4" s="10"/>
      <c r="I4" s="10"/>
      <c r="J4" s="10" t="n">
        <f aca="false">IF(H4&lt;&gt;"",H4,MIN(260,MAX(VLOOKUP(D4,Shape_Library!$A:$H,7,0),LEN(E4)*7+24)))</f>
        <v>200</v>
      </c>
      <c r="K4" s="10" t="n">
        <f aca="false">IF(I4&lt;&gt;"",I4,MAX(VLOOKUP(D4,Shape_Library!$A:$H,8,0),CEILING(LEN(E4)*7/(J4-24),1)*16+20))</f>
        <v>150</v>
      </c>
      <c r="L4" s="10" t="s">
        <v>486</v>
      </c>
      <c r="M4" s="10" t="s">
        <v>487</v>
      </c>
    </row>
    <row r="5" customFormat="false" ht="15" hidden="false" customHeight="false" outlineLevel="0" collapsed="false">
      <c r="A5" s="10" t="s">
        <v>441</v>
      </c>
      <c r="B5" s="10" t="s">
        <v>488</v>
      </c>
      <c r="C5" s="10" t="s">
        <v>476</v>
      </c>
      <c r="D5" s="10" t="s">
        <v>158</v>
      </c>
      <c r="E5" s="10" t="s">
        <v>489</v>
      </c>
      <c r="F5" s="10" t="n">
        <v>1</v>
      </c>
      <c r="G5" s="10" t="n">
        <v>1</v>
      </c>
      <c r="H5" s="10"/>
      <c r="I5" s="10"/>
      <c r="J5" s="10" t="n">
        <f aca="false">IF(H5&lt;&gt;"",H5,MIN(260,MAX(VLOOKUP(D5,Shape_Library!$A:$H,7,0),LEN(E5)*7+24)))</f>
        <v>136</v>
      </c>
      <c r="K5" s="10" t="n">
        <f aca="false">IF(I5&lt;&gt;"",I5,MAX(VLOOKUP(D5,Shape_Library!$A:$H,8,0),CEILING(LEN(E5)*7/(J5-24),1)*16+20))</f>
        <v>40</v>
      </c>
      <c r="L5" s="10"/>
      <c r="M5" s="10"/>
    </row>
    <row r="6" customFormat="false" ht="15" hidden="false" customHeight="false" outlineLevel="0" collapsed="false">
      <c r="A6" s="10" t="s">
        <v>441</v>
      </c>
      <c r="B6" s="10" t="s">
        <v>490</v>
      </c>
      <c r="C6" s="10" t="s">
        <v>476</v>
      </c>
      <c r="D6" s="10" t="s">
        <v>161</v>
      </c>
      <c r="E6" s="10" t="s">
        <v>491</v>
      </c>
      <c r="F6" s="10" t="n">
        <v>1</v>
      </c>
      <c r="G6" s="10" t="n">
        <v>2</v>
      </c>
      <c r="H6" s="10"/>
      <c r="I6" s="10"/>
      <c r="J6" s="10" t="n">
        <f aca="false">IF(H6&lt;&gt;"",H6,MIN(260,MAX(VLOOKUP(D6,Shape_Library!$A:$H,7,0),LEN(E6)*7+24)))</f>
        <v>192</v>
      </c>
      <c r="K6" s="10" t="n">
        <f aca="false">IF(I6&lt;&gt;"",I6,MAX(VLOOKUP(D6,Shape_Library!$A:$H,8,0),CEILING(LEN(E6)*7/(J6-24),1)*16+20))</f>
        <v>40</v>
      </c>
      <c r="L6" s="10"/>
      <c r="M6" s="10"/>
    </row>
    <row r="7" customFormat="false" ht="15" hidden="false" customHeight="false" outlineLevel="0" collapsed="false">
      <c r="A7" s="10" t="s">
        <v>441</v>
      </c>
      <c r="B7" s="10" t="s">
        <v>492</v>
      </c>
      <c r="C7" s="10" t="s">
        <v>480</v>
      </c>
      <c r="D7" s="10" t="s">
        <v>182</v>
      </c>
      <c r="E7" s="10" t="s">
        <v>493</v>
      </c>
      <c r="F7" s="10" t="n">
        <v>1</v>
      </c>
      <c r="G7" s="10" t="n">
        <v>1</v>
      </c>
      <c r="H7" s="10"/>
      <c r="I7" s="10"/>
      <c r="J7" s="10" t="n">
        <f aca="false">IF(H7&lt;&gt;"",H7,MIN(260,MAX(VLOOKUP(D7,Shape_Library!$A:$H,7,0),LEN(E7)*7+24)))</f>
        <v>157</v>
      </c>
      <c r="K7" s="10" t="n">
        <f aca="false">IF(I7&lt;&gt;"",I7,MAX(VLOOKUP(D7,Shape_Library!$A:$H,8,0),CEILING(LEN(E7)*7/(J7-24),1)*16+20))</f>
        <v>45</v>
      </c>
      <c r="L7" s="10"/>
      <c r="M7" s="10" t="s">
        <v>494</v>
      </c>
    </row>
    <row r="8" customFormat="false" ht="15" hidden="false" customHeight="false" outlineLevel="0" collapsed="false">
      <c r="A8" s="10" t="s">
        <v>441</v>
      </c>
      <c r="B8" s="10" t="s">
        <v>495</v>
      </c>
      <c r="C8" s="10" t="s">
        <v>480</v>
      </c>
      <c r="D8" s="10" t="s">
        <v>182</v>
      </c>
      <c r="E8" s="10" t="s">
        <v>496</v>
      </c>
      <c r="F8" s="10" t="n">
        <v>1</v>
      </c>
      <c r="G8" s="10" t="n">
        <v>2</v>
      </c>
      <c r="H8" s="10"/>
      <c r="I8" s="10"/>
      <c r="J8" s="10" t="n">
        <f aca="false">IF(H8&lt;&gt;"",H8,MIN(260,MAX(VLOOKUP(D8,Shape_Library!$A:$H,7,0),LEN(E8)*7+24)))</f>
        <v>110</v>
      </c>
      <c r="K8" s="10" t="n">
        <f aca="false">IF(I8&lt;&gt;"",I8,MAX(VLOOKUP(D8,Shape_Library!$A:$H,8,0),CEILING(LEN(E8)*7/(J8-24),1)*16+20))</f>
        <v>45</v>
      </c>
      <c r="L8" s="10"/>
      <c r="M8" s="10" t="s">
        <v>497</v>
      </c>
    </row>
    <row r="9" customFormat="false" ht="15" hidden="false" customHeight="false" outlineLevel="0" collapsed="false">
      <c r="A9" s="10" t="s">
        <v>441</v>
      </c>
      <c r="B9" s="10" t="s">
        <v>498</v>
      </c>
      <c r="C9" s="10" t="s">
        <v>480</v>
      </c>
      <c r="D9" s="10" t="s">
        <v>187</v>
      </c>
      <c r="E9" s="10" t="s">
        <v>499</v>
      </c>
      <c r="F9" s="10" t="n">
        <v>1</v>
      </c>
      <c r="G9" s="10" t="n">
        <v>3</v>
      </c>
      <c r="H9" s="10"/>
      <c r="I9" s="10"/>
      <c r="J9" s="10" t="n">
        <f aca="false">IF(H9&lt;&gt;"",H9,MIN(260,MAX(VLOOKUP(D9,Shape_Library!$A:$H,7,0),LEN(E9)*7+24)))</f>
        <v>192</v>
      </c>
      <c r="K9" s="10" t="n">
        <f aca="false">IF(I9&lt;&gt;"",I9,MAX(VLOOKUP(D9,Shape_Library!$A:$H,8,0),CEILING(LEN(E9)*7/(J9-24),1)*16+20))</f>
        <v>40</v>
      </c>
      <c r="L9" s="10"/>
      <c r="M9" s="10"/>
    </row>
    <row r="10" customFormat="false" ht="15" hidden="false" customHeight="false" outlineLevel="0" collapsed="false">
      <c r="A10" s="10" t="s">
        <v>441</v>
      </c>
      <c r="B10" s="10" t="s">
        <v>500</v>
      </c>
      <c r="C10" s="10" t="s">
        <v>484</v>
      </c>
      <c r="D10" s="10" t="s">
        <v>191</v>
      </c>
      <c r="E10" s="10" t="s">
        <v>501</v>
      </c>
      <c r="F10" s="10" t="n">
        <v>1</v>
      </c>
      <c r="G10" s="10" t="n">
        <v>1</v>
      </c>
      <c r="H10" s="10"/>
      <c r="I10" s="10"/>
      <c r="J10" s="10" t="n">
        <f aca="false">IF(H10&lt;&gt;"",H10,MIN(260,MAX(VLOOKUP(D10,Shape_Library!$A:$H,7,0),LEN(E10)*7+24)))</f>
        <v>150</v>
      </c>
      <c r="K10" s="10" t="n">
        <f aca="false">IF(I10&lt;&gt;"",I10,MAX(VLOOKUP(D10,Shape_Library!$A:$H,8,0),CEILING(LEN(E10)*7/(J10-24),1)*16+20))</f>
        <v>50</v>
      </c>
      <c r="L10" s="10"/>
      <c r="M10" s="10"/>
    </row>
    <row r="11" customFormat="false" ht="15" hidden="false" customHeight="false" outlineLevel="0" collapsed="false">
      <c r="A11" s="10" t="s">
        <v>441</v>
      </c>
      <c r="B11" s="10" t="s">
        <v>502</v>
      </c>
      <c r="C11" s="10" t="s">
        <v>484</v>
      </c>
      <c r="D11" s="10" t="s">
        <v>196</v>
      </c>
      <c r="E11" s="10" t="s">
        <v>503</v>
      </c>
      <c r="F11" s="10" t="n">
        <v>1</v>
      </c>
      <c r="G11" s="10" t="n">
        <v>2</v>
      </c>
      <c r="H11" s="10"/>
      <c r="I11" s="10"/>
      <c r="J11" s="10" t="n">
        <f aca="false">IF(H11&lt;&gt;"",H11,MIN(260,MAX(VLOOKUP(D11,Shape_Library!$A:$H,7,0),LEN(E11)*7+24)))</f>
        <v>129</v>
      </c>
      <c r="K11" s="10" t="n">
        <f aca="false">IF(I11&lt;&gt;"",I11,MAX(VLOOKUP(D11,Shape_Library!$A:$H,8,0),CEILING(LEN(E11)*7/(J11-24),1)*16+20))</f>
        <v>50</v>
      </c>
      <c r="L11" s="10"/>
      <c r="M11" s="10"/>
    </row>
    <row r="12" customFormat="false" ht="15" hidden="false" customHeight="false" outlineLevel="0" collapsed="false">
      <c r="A12" s="10" t="s">
        <v>446</v>
      </c>
      <c r="B12" s="10" t="s">
        <v>504</v>
      </c>
      <c r="C12" s="10"/>
      <c r="D12" s="10" t="s">
        <v>209</v>
      </c>
      <c r="E12" s="10" t="s">
        <v>505</v>
      </c>
      <c r="F12" s="10" t="n">
        <v>1</v>
      </c>
      <c r="G12" s="10" t="n">
        <v>1</v>
      </c>
      <c r="H12" s="10"/>
      <c r="I12" s="10"/>
      <c r="J12" s="10" t="n">
        <f aca="false">IF(H12&lt;&gt;"",H12,MIN(260,MAX(VLOOKUP(D12,Shape_Library!$A:$H,7,0),LEN(E12)*7+24)))</f>
        <v>80</v>
      </c>
      <c r="K12" s="10" t="n">
        <f aca="false">IF(I12&lt;&gt;"",I12,MAX(VLOOKUP(D12,Shape_Library!$A:$H,8,0),CEILING(LEN(E12)*7/(J12-24),1)*16+20))</f>
        <v>36</v>
      </c>
      <c r="L12" s="10"/>
      <c r="M12" s="10"/>
    </row>
    <row r="13" customFormat="false" ht="15" hidden="false" customHeight="false" outlineLevel="0" collapsed="false">
      <c r="A13" s="10" t="s">
        <v>446</v>
      </c>
      <c r="B13" s="10" t="s">
        <v>506</v>
      </c>
      <c r="C13" s="10"/>
      <c r="D13" s="10" t="s">
        <v>214</v>
      </c>
      <c r="E13" s="10" t="s">
        <v>507</v>
      </c>
      <c r="F13" s="10" t="n">
        <v>2</v>
      </c>
      <c r="G13" s="10" t="n">
        <v>1</v>
      </c>
      <c r="H13" s="10"/>
      <c r="I13" s="10"/>
      <c r="J13" s="10" t="n">
        <f aca="false">IF(H13&lt;&gt;"",H13,MIN(260,MAX(VLOOKUP(D13,Shape_Library!$A:$H,7,0),LEN(E13)*7+24)))</f>
        <v>178</v>
      </c>
      <c r="K13" s="10" t="n">
        <f aca="false">IF(I13&lt;&gt;"",I13,MAX(VLOOKUP(D13,Shape_Library!$A:$H,8,0),CEILING(LEN(E13)*7/(J13-24),1)*16+20))</f>
        <v>40</v>
      </c>
      <c r="L13" s="10"/>
      <c r="M13" s="10"/>
    </row>
    <row r="14" customFormat="false" ht="15" hidden="false" customHeight="false" outlineLevel="0" collapsed="false">
      <c r="A14" s="10" t="s">
        <v>446</v>
      </c>
      <c r="B14" s="10" t="s">
        <v>508</v>
      </c>
      <c r="C14" s="10"/>
      <c r="D14" s="10" t="s">
        <v>217</v>
      </c>
      <c r="E14" s="10" t="s">
        <v>509</v>
      </c>
      <c r="F14" s="10" t="n">
        <v>3</v>
      </c>
      <c r="G14" s="10" t="n">
        <v>1</v>
      </c>
      <c r="H14" s="10"/>
      <c r="I14" s="10"/>
      <c r="J14" s="10" t="n">
        <f aca="false">IF(H14&lt;&gt;"",H14,MIN(260,MAX(VLOOKUP(D14,Shape_Library!$A:$H,7,0),LEN(E14)*7+24)))</f>
        <v>136</v>
      </c>
      <c r="K14" s="10" t="n">
        <f aca="false">IF(I14&lt;&gt;"",I14,MAX(VLOOKUP(D14,Shape_Library!$A:$H,8,0),CEILING(LEN(E14)*7/(J14-24),1)*16+20))</f>
        <v>70</v>
      </c>
      <c r="L14" s="10"/>
      <c r="M14" s="10"/>
    </row>
    <row r="15" customFormat="false" ht="15" hidden="false" customHeight="false" outlineLevel="0" collapsed="false">
      <c r="A15" s="10" t="s">
        <v>446</v>
      </c>
      <c r="B15" s="10" t="s">
        <v>510</v>
      </c>
      <c r="C15" s="10"/>
      <c r="D15" s="10" t="s">
        <v>214</v>
      </c>
      <c r="E15" s="10" t="s">
        <v>511</v>
      </c>
      <c r="F15" s="10" t="n">
        <v>4</v>
      </c>
      <c r="G15" s="10" t="n">
        <v>1</v>
      </c>
      <c r="H15" s="10"/>
      <c r="I15" s="10"/>
      <c r="J15" s="10" t="n">
        <f aca="false">IF(H15&lt;&gt;"",H15,MIN(260,MAX(VLOOKUP(D15,Shape_Library!$A:$H,7,0),LEN(E15)*7+24)))</f>
        <v>129</v>
      </c>
      <c r="K15" s="10" t="n">
        <f aca="false">IF(I15&lt;&gt;"",I15,MAX(VLOOKUP(D15,Shape_Library!$A:$H,8,0),CEILING(LEN(E15)*7/(J15-24),1)*16+20))</f>
        <v>40</v>
      </c>
      <c r="L15" s="10"/>
      <c r="M15" s="10"/>
    </row>
    <row r="16" customFormat="false" ht="15" hidden="false" customHeight="false" outlineLevel="0" collapsed="false">
      <c r="A16" s="10" t="s">
        <v>446</v>
      </c>
      <c r="B16" s="10" t="s">
        <v>512</v>
      </c>
      <c r="C16" s="10"/>
      <c r="D16" s="10" t="s">
        <v>214</v>
      </c>
      <c r="E16" s="10" t="s">
        <v>513</v>
      </c>
      <c r="F16" s="10" t="n">
        <v>4</v>
      </c>
      <c r="G16" s="10" t="n">
        <v>2</v>
      </c>
      <c r="H16" s="10"/>
      <c r="I16" s="10"/>
      <c r="J16" s="10" t="n">
        <f aca="false">IF(H16&lt;&gt;"",H16,MIN(260,MAX(VLOOKUP(D16,Shape_Library!$A:$H,7,0),LEN(E16)*7+24)))</f>
        <v>227</v>
      </c>
      <c r="K16" s="10" t="n">
        <f aca="false">IF(I16&lt;&gt;"",I16,MAX(VLOOKUP(D16,Shape_Library!$A:$H,8,0),CEILING(LEN(E16)*7/(J16-24),1)*16+20))</f>
        <v>40</v>
      </c>
      <c r="L16" s="10"/>
      <c r="M16" s="10"/>
    </row>
    <row r="17" customFormat="false" ht="15" hidden="false" customHeight="false" outlineLevel="0" collapsed="false">
      <c r="A17" s="10" t="s">
        <v>446</v>
      </c>
      <c r="B17" s="10" t="s">
        <v>514</v>
      </c>
      <c r="C17" s="10"/>
      <c r="D17" s="10" t="s">
        <v>222</v>
      </c>
      <c r="E17" s="10" t="s">
        <v>515</v>
      </c>
      <c r="F17" s="10" t="n">
        <v>5</v>
      </c>
      <c r="G17" s="10" t="n">
        <v>1</v>
      </c>
      <c r="H17" s="10"/>
      <c r="I17" s="10"/>
      <c r="J17" s="10" t="n">
        <f aca="false">IF(H17&lt;&gt;"",H17,MIN(260,MAX(VLOOKUP(D17,Shape_Library!$A:$H,7,0),LEN(E17)*7+24)))</f>
        <v>143</v>
      </c>
      <c r="K17" s="10" t="n">
        <f aca="false">IF(I17&lt;&gt;"",I17,MAX(VLOOKUP(D17,Shape_Library!$A:$H,8,0),CEILING(LEN(E17)*7/(J17-24),1)*16+20))</f>
        <v>40</v>
      </c>
      <c r="L17" s="10"/>
      <c r="M17" s="10"/>
    </row>
    <row r="18" customFormat="false" ht="15" hidden="false" customHeight="false" outlineLevel="0" collapsed="false">
      <c r="A18" s="10" t="s">
        <v>446</v>
      </c>
      <c r="B18" s="10" t="s">
        <v>516</v>
      </c>
      <c r="C18" s="10"/>
      <c r="D18" s="10" t="s">
        <v>209</v>
      </c>
      <c r="E18" s="10" t="s">
        <v>517</v>
      </c>
      <c r="F18" s="10" t="n">
        <v>6</v>
      </c>
      <c r="G18" s="10" t="n">
        <v>1</v>
      </c>
      <c r="H18" s="10"/>
      <c r="I18" s="10"/>
      <c r="J18" s="10" t="n">
        <f aca="false">IF(H18&lt;&gt;"",H18,MIN(260,MAX(VLOOKUP(D18,Shape_Library!$A:$H,7,0),LEN(E18)*7+24)))</f>
        <v>80</v>
      </c>
      <c r="K18" s="10" t="n">
        <f aca="false">IF(I18&lt;&gt;"",I18,MAX(VLOOKUP(D18,Shape_Library!$A:$H,8,0),CEILING(LEN(E18)*7/(J18-24),1)*16+20))</f>
        <v>36</v>
      </c>
      <c r="L18" s="10"/>
      <c r="M18" s="10"/>
    </row>
    <row r="19" customFormat="false" ht="15" hidden="false" customHeight="false" outlineLevel="0" collapsed="false">
      <c r="A19" s="10" t="s">
        <v>451</v>
      </c>
      <c r="B19" s="10" t="s">
        <v>518</v>
      </c>
      <c r="C19" s="10"/>
      <c r="D19" s="10" t="s">
        <v>100</v>
      </c>
      <c r="E19" s="10" t="s">
        <v>519</v>
      </c>
      <c r="F19" s="10" t="n">
        <v>1</v>
      </c>
      <c r="G19" s="10" t="n">
        <v>1</v>
      </c>
      <c r="H19" s="10"/>
      <c r="I19" s="10"/>
      <c r="J19" s="10" t="n">
        <f aca="false">IF(H19&lt;&gt;"",H19,MIN(260,MAX(VLOOKUP(D19,Shape_Library!$A:$H,7,0),LEN(E19)*7+24)))</f>
        <v>227</v>
      </c>
      <c r="K19" s="10" t="n">
        <f aca="false">IF(I19&lt;&gt;"",I19,MAX(VLOOKUP(D19,Shape_Library!$A:$H,8,0),CEILING(LEN(E19)*7/(J19-24),1)*16+20))</f>
        <v>56</v>
      </c>
      <c r="L19" s="10"/>
      <c r="M19" s="10" t="s">
        <v>520</v>
      </c>
    </row>
    <row r="20" customFormat="false" ht="15" hidden="false" customHeight="false" outlineLevel="0" collapsed="false">
      <c r="A20" s="10" t="s">
        <v>451</v>
      </c>
      <c r="B20" s="10" t="s">
        <v>521</v>
      </c>
      <c r="C20" s="10"/>
      <c r="D20" s="10" t="s">
        <v>100</v>
      </c>
      <c r="E20" s="10" t="s">
        <v>522</v>
      </c>
      <c r="F20" s="10" t="n">
        <v>2</v>
      </c>
      <c r="G20" s="10" t="n">
        <v>1</v>
      </c>
      <c r="H20" s="10"/>
      <c r="I20" s="10"/>
      <c r="J20" s="10" t="n">
        <f aca="false">IF(H20&lt;&gt;"",H20,MIN(260,MAX(VLOOKUP(D20,Shape_Library!$A:$H,7,0),LEN(E20)*7+24)))</f>
        <v>260</v>
      </c>
      <c r="K20" s="10" t="n">
        <f aca="false">IF(I20&lt;&gt;"",I20,MAX(VLOOKUP(D20,Shape_Library!$A:$H,8,0),CEILING(LEN(E20)*7/(J20-24),1)*16+20))</f>
        <v>56</v>
      </c>
      <c r="L20" s="10"/>
      <c r="M20" s="10"/>
    </row>
    <row r="21" customFormat="false" ht="15" hidden="false" customHeight="false" outlineLevel="0" collapsed="false">
      <c r="A21" s="10" t="s">
        <v>451</v>
      </c>
      <c r="B21" s="10" t="s">
        <v>523</v>
      </c>
      <c r="C21" s="10"/>
      <c r="D21" s="10" t="s">
        <v>100</v>
      </c>
      <c r="E21" s="10" t="s">
        <v>524</v>
      </c>
      <c r="F21" s="10" t="n">
        <v>2</v>
      </c>
      <c r="G21" s="10" t="n">
        <v>2</v>
      </c>
      <c r="H21" s="10"/>
      <c r="I21" s="10"/>
      <c r="J21" s="10" t="n">
        <f aca="false">IF(H21&lt;&gt;"",H21,MIN(260,MAX(VLOOKUP(D21,Shape_Library!$A:$H,7,0),LEN(E21)*7+24)))</f>
        <v>248</v>
      </c>
      <c r="K21" s="10" t="n">
        <f aca="false">IF(I21&lt;&gt;"",I21,MAX(VLOOKUP(D21,Shape_Library!$A:$H,8,0),CEILING(LEN(E21)*7/(J21-24),1)*16+20))</f>
        <v>56</v>
      </c>
      <c r="L21" s="10"/>
      <c r="M21" s="10"/>
    </row>
    <row r="22" customFormat="false" ht="15" hidden="false" customHeight="false" outlineLevel="0" collapsed="false">
      <c r="A22" s="10" t="s">
        <v>451</v>
      </c>
      <c r="B22" s="10" t="s">
        <v>525</v>
      </c>
      <c r="C22" s="10"/>
      <c r="D22" s="10" t="s">
        <v>100</v>
      </c>
      <c r="E22" s="10" t="s">
        <v>526</v>
      </c>
      <c r="F22" s="10" t="n">
        <v>3</v>
      </c>
      <c r="G22" s="10" t="n">
        <v>1</v>
      </c>
      <c r="H22" s="10"/>
      <c r="I22" s="10"/>
      <c r="J22" s="10" t="n">
        <f aca="false">IF(H22&lt;&gt;"",H22,MIN(260,MAX(VLOOKUP(D22,Shape_Library!$A:$H,7,0),LEN(E22)*7+24)))</f>
        <v>227</v>
      </c>
      <c r="K22" s="10" t="n">
        <f aca="false">IF(I22&lt;&gt;"",I22,MAX(VLOOKUP(D22,Shape_Library!$A:$H,8,0),CEILING(LEN(E22)*7/(J22-24),1)*16+20))</f>
        <v>56</v>
      </c>
      <c r="L22" s="10"/>
      <c r="M22" s="10"/>
    </row>
    <row r="23" customFormat="false" ht="15" hidden="false" customHeight="false" outlineLevel="0" collapsed="false">
      <c r="A23" s="10" t="s">
        <v>451</v>
      </c>
      <c r="B23" s="10" t="s">
        <v>527</v>
      </c>
      <c r="C23" s="10"/>
      <c r="D23" s="10" t="s">
        <v>100</v>
      </c>
      <c r="E23" s="10" t="s">
        <v>528</v>
      </c>
      <c r="F23" s="10" t="n">
        <v>3</v>
      </c>
      <c r="G23" s="10" t="n">
        <v>2</v>
      </c>
      <c r="H23" s="10"/>
      <c r="I23" s="10"/>
      <c r="J23" s="10" t="n">
        <f aca="false">IF(H23&lt;&gt;"",H23,MIN(260,MAX(VLOOKUP(D23,Shape_Library!$A:$H,7,0),LEN(E23)*7+24)))</f>
        <v>199</v>
      </c>
      <c r="K23" s="10" t="n">
        <f aca="false">IF(I23&lt;&gt;"",I23,MAX(VLOOKUP(D23,Shape_Library!$A:$H,8,0),CEILING(LEN(E23)*7/(J23-24),1)*16+20))</f>
        <v>56</v>
      </c>
      <c r="L23" s="10"/>
      <c r="M23" s="10"/>
    </row>
    <row r="24" customFormat="false" ht="15" hidden="false" customHeight="false" outlineLevel="0" collapsed="false">
      <c r="A24" s="10" t="s">
        <v>455</v>
      </c>
      <c r="B24" s="10" t="s">
        <v>529</v>
      </c>
      <c r="C24" s="10"/>
      <c r="D24" s="10" t="s">
        <v>257</v>
      </c>
      <c r="E24" s="10" t="s">
        <v>530</v>
      </c>
      <c r="F24" s="10" t="n">
        <v>1</v>
      </c>
      <c r="G24" s="10" t="n">
        <v>1</v>
      </c>
      <c r="H24" s="10"/>
      <c r="I24" s="10"/>
      <c r="J24" s="10" t="n">
        <f aca="false">IF(H24&lt;&gt;"",H24,MIN(260,MAX(VLOOKUP(D24,Shape_Library!$A:$H,7,0),LEN(E24)*7+24)))</f>
        <v>110</v>
      </c>
      <c r="K24" s="10" t="n">
        <f aca="false">IF(I24&lt;&gt;"",I24,MAX(VLOOKUP(D24,Shape_Library!$A:$H,8,0),CEILING(LEN(E24)*7/(J24-24),1)*16+20))</f>
        <v>60</v>
      </c>
      <c r="L24" s="10"/>
      <c r="M24" s="10"/>
    </row>
    <row r="25" customFormat="false" ht="15" hidden="false" customHeight="false" outlineLevel="0" collapsed="false">
      <c r="A25" s="10" t="s">
        <v>455</v>
      </c>
      <c r="B25" s="10" t="s">
        <v>531</v>
      </c>
      <c r="C25" s="10"/>
      <c r="D25" s="10" t="s">
        <v>270</v>
      </c>
      <c r="E25" s="10" t="s">
        <v>532</v>
      </c>
      <c r="F25" s="10" t="n">
        <v>2</v>
      </c>
      <c r="G25" s="10" t="n">
        <v>1</v>
      </c>
      <c r="H25" s="10"/>
      <c r="I25" s="10"/>
      <c r="J25" s="10" t="n">
        <f aca="false">IF(H25&lt;&gt;"",H25,MIN(260,MAX(VLOOKUP(D25,Shape_Library!$A:$H,7,0),LEN(E25)*7+24)))</f>
        <v>260</v>
      </c>
      <c r="K25" s="10" t="n">
        <f aca="false">IF(I25&lt;&gt;"",I25,MAX(VLOOKUP(D25,Shape_Library!$A:$H,8,0),CEILING(LEN(E25)*7/(J25-24),1)*16+20))</f>
        <v>150</v>
      </c>
      <c r="L25" s="10"/>
      <c r="M25" s="10"/>
    </row>
    <row r="26" customFormat="false" ht="15" hidden="false" customHeight="false" outlineLevel="0" collapsed="false">
      <c r="A26" s="10" t="s">
        <v>455</v>
      </c>
      <c r="B26" s="10" t="s">
        <v>533</v>
      </c>
      <c r="C26" s="10"/>
      <c r="D26" s="10" t="s">
        <v>270</v>
      </c>
      <c r="E26" s="10" t="s">
        <v>534</v>
      </c>
      <c r="F26" s="10" t="n">
        <v>3</v>
      </c>
      <c r="G26" s="10" t="n">
        <v>1</v>
      </c>
      <c r="H26" s="10"/>
      <c r="I26" s="10"/>
      <c r="J26" s="10" t="n">
        <f aca="false">IF(H26&lt;&gt;"",H26,MIN(260,MAX(VLOOKUP(D26,Shape_Library!$A:$H,7,0),LEN(E26)*7+24)))</f>
        <v>260</v>
      </c>
      <c r="K26" s="10" t="n">
        <f aca="false">IF(I26&lt;&gt;"",I26,MAX(VLOOKUP(D26,Shape_Library!$A:$H,8,0),CEILING(LEN(E26)*7/(J26-24),1)*16+20))</f>
        <v>150</v>
      </c>
      <c r="L26" s="10"/>
      <c r="M26" s="10"/>
    </row>
    <row r="27" customFormat="false" ht="15" hidden="false" customHeight="false" outlineLevel="0" collapsed="false">
      <c r="A27" s="10" t="s">
        <v>455</v>
      </c>
      <c r="B27" s="10" t="s">
        <v>535</v>
      </c>
      <c r="C27" s="10" t="s">
        <v>531</v>
      </c>
      <c r="D27" s="10" t="s">
        <v>259</v>
      </c>
      <c r="E27" s="10" t="s">
        <v>536</v>
      </c>
      <c r="F27" s="10" t="n">
        <v>1</v>
      </c>
      <c r="G27" s="10" t="n">
        <v>1</v>
      </c>
      <c r="H27" s="10"/>
      <c r="I27" s="10"/>
      <c r="J27" s="10" t="n">
        <f aca="false">IF(H27&lt;&gt;"",H27,MIN(260,MAX(VLOOKUP(D27,Shape_Library!$A:$H,7,0),LEN(E27)*7+24)))</f>
        <v>115</v>
      </c>
      <c r="K27" s="10" t="n">
        <f aca="false">IF(I27&lt;&gt;"",I27,MAX(VLOOKUP(D27,Shape_Library!$A:$H,8,0),CEILING(LEN(E27)*7/(J27-24),1)*16+20))</f>
        <v>50</v>
      </c>
      <c r="L27" s="10"/>
      <c r="M27" s="10"/>
    </row>
    <row r="28" customFormat="false" ht="15" hidden="false" customHeight="false" outlineLevel="0" collapsed="false">
      <c r="A28" s="10" t="s">
        <v>455</v>
      </c>
      <c r="B28" s="10" t="s">
        <v>537</v>
      </c>
      <c r="C28" s="10" t="s">
        <v>531</v>
      </c>
      <c r="D28" s="10" t="s">
        <v>265</v>
      </c>
      <c r="E28" s="10" t="s">
        <v>538</v>
      </c>
      <c r="F28" s="10" t="n">
        <v>1</v>
      </c>
      <c r="G28" s="10" t="n">
        <v>2</v>
      </c>
      <c r="H28" s="10"/>
      <c r="I28" s="10"/>
      <c r="J28" s="10" t="n">
        <f aca="false">IF(H28&lt;&gt;"",H28,MIN(260,MAX(VLOOKUP(D28,Shape_Library!$A:$H,7,0),LEN(E28)*7+24)))</f>
        <v>115</v>
      </c>
      <c r="K28" s="10" t="n">
        <f aca="false">IF(I28&lt;&gt;"",I28,MAX(VLOOKUP(D28,Shape_Library!$A:$H,8,0),CEILING(LEN(E28)*7/(J28-24),1)*16+20))</f>
        <v>45</v>
      </c>
      <c r="L28" s="10"/>
      <c r="M28" s="10"/>
    </row>
    <row r="29" customFormat="false" ht="15" hidden="false" customHeight="false" outlineLevel="0" collapsed="false">
      <c r="A29" s="10" t="s">
        <v>455</v>
      </c>
      <c r="B29" s="10" t="s">
        <v>539</v>
      </c>
      <c r="C29" s="10" t="s">
        <v>533</v>
      </c>
      <c r="D29" s="10" t="s">
        <v>267</v>
      </c>
      <c r="E29" s="10" t="s">
        <v>540</v>
      </c>
      <c r="F29" s="10" t="n">
        <v>1</v>
      </c>
      <c r="G29" s="10" t="n">
        <v>1</v>
      </c>
      <c r="H29" s="10"/>
      <c r="I29" s="10"/>
      <c r="J29" s="10" t="n">
        <f aca="false">IF(H29&lt;&gt;"",H29,MIN(260,MAX(VLOOKUP(D29,Shape_Library!$A:$H,7,0),LEN(E29)*7+24)))</f>
        <v>115</v>
      </c>
      <c r="K29" s="10" t="n">
        <f aca="false">IF(I29&lt;&gt;"",I29,MAX(VLOOKUP(D29,Shape_Library!$A:$H,8,0),CEILING(LEN(E29)*7/(J29-24),1)*16+20))</f>
        <v>50</v>
      </c>
      <c r="L29" s="10"/>
      <c r="M29" s="10"/>
    </row>
    <row r="30" customFormat="false" ht="15" hidden="false" customHeight="false" outlineLevel="0" collapsed="false">
      <c r="A30" s="10" t="s">
        <v>455</v>
      </c>
      <c r="B30" s="10" t="s">
        <v>541</v>
      </c>
      <c r="C30" s="10" t="s">
        <v>533</v>
      </c>
      <c r="D30" s="10" t="s">
        <v>267</v>
      </c>
      <c r="E30" s="10" t="s">
        <v>542</v>
      </c>
      <c r="F30" s="10" t="n">
        <v>1</v>
      </c>
      <c r="G30" s="10" t="n">
        <v>2</v>
      </c>
      <c r="H30" s="10"/>
      <c r="I30" s="10"/>
      <c r="J30" s="10" t="n">
        <f aca="false">IF(H30&lt;&gt;"",H30,MIN(260,MAX(VLOOKUP(D30,Shape_Library!$A:$H,7,0),LEN(E30)*7+24)))</f>
        <v>115</v>
      </c>
      <c r="K30" s="10" t="n">
        <f aca="false">IF(I30&lt;&gt;"",I30,MAX(VLOOKUP(D30,Shape_Library!$A:$H,8,0),CEILING(LEN(E30)*7/(J30-24),1)*16+20))</f>
        <v>50</v>
      </c>
      <c r="L30" s="10"/>
      <c r="M30" s="10"/>
    </row>
    <row r="31" customFormat="false" ht="15" hidden="false" customHeight="false" outlineLevel="0" collapsed="false">
      <c r="A31" s="10" t="s">
        <v>455</v>
      </c>
      <c r="B31" s="10" t="s">
        <v>543</v>
      </c>
      <c r="C31" s="10" t="s">
        <v>533</v>
      </c>
      <c r="D31" s="10" t="s">
        <v>231</v>
      </c>
      <c r="E31" s="10" t="s">
        <v>544</v>
      </c>
      <c r="F31" s="10" t="n">
        <v>2</v>
      </c>
      <c r="G31" s="10" t="n">
        <v>1</v>
      </c>
      <c r="H31" s="10"/>
      <c r="I31" s="10"/>
      <c r="J31" s="10" t="n">
        <f aca="false">IF(H31&lt;&gt;"",H31,MIN(260,MAX(VLOOKUP(D31,Shape_Library!$A:$H,7,0),LEN(E31)*7+24)))</f>
        <v>150</v>
      </c>
      <c r="K31" s="10" t="n">
        <f aca="false">IF(I31&lt;&gt;"",I31,MAX(VLOOKUP(D31,Shape_Library!$A:$H,8,0),CEILING(LEN(E31)*7/(J31-24),1)*16+20))</f>
        <v>50</v>
      </c>
      <c r="L31" s="10"/>
      <c r="M31" s="10"/>
    </row>
    <row r="32" customFormat="false" ht="15" hidden="false" customHeight="false" outlineLevel="0" collapsed="false">
      <c r="A32" s="10" t="s">
        <v>460</v>
      </c>
      <c r="B32" s="10" t="s">
        <v>545</v>
      </c>
      <c r="C32" s="10"/>
      <c r="D32" s="10" t="s">
        <v>274</v>
      </c>
      <c r="E32" s="10" t="s">
        <v>546</v>
      </c>
      <c r="F32" s="10" t="n">
        <v>1</v>
      </c>
      <c r="G32" s="10" t="n">
        <v>1</v>
      </c>
      <c r="H32" s="10"/>
      <c r="I32" s="10"/>
      <c r="J32" s="10" t="n">
        <f aca="false">IF(H32&lt;&gt;"",H32,MIN(260,MAX(VLOOKUP(D32,Shape_Library!$A:$H,7,0),LEN(E32)*7+24)))</f>
        <v>160</v>
      </c>
      <c r="K32" s="10" t="n">
        <f aca="false">IF(I32&lt;&gt;"",I32,MAX(VLOOKUP(D32,Shape_Library!$A:$H,8,0),CEILING(LEN(E32)*7/(J32-24),1)*16+20))</f>
        <v>36</v>
      </c>
      <c r="L32" s="10"/>
      <c r="M32" s="10" t="s">
        <v>547</v>
      </c>
    </row>
    <row r="33" customFormat="false" ht="15" hidden="false" customHeight="false" outlineLevel="0" collapsed="false">
      <c r="A33" s="10" t="s">
        <v>460</v>
      </c>
      <c r="B33" s="10" t="s">
        <v>548</v>
      </c>
      <c r="C33" s="10"/>
      <c r="D33" s="10" t="s">
        <v>274</v>
      </c>
      <c r="E33" s="10" t="s">
        <v>549</v>
      </c>
      <c r="F33" s="10" t="n">
        <v>1</v>
      </c>
      <c r="G33" s="10" t="n">
        <v>2</v>
      </c>
      <c r="H33" s="10"/>
      <c r="I33" s="10"/>
      <c r="J33" s="10" t="n">
        <f aca="false">IF(H33&lt;&gt;"",H33,MIN(260,MAX(VLOOKUP(D33,Shape_Library!$A:$H,7,0),LEN(E33)*7+24)))</f>
        <v>160</v>
      </c>
      <c r="K33" s="10" t="n">
        <f aca="false">IF(I33&lt;&gt;"",I33,MAX(VLOOKUP(D33,Shape_Library!$A:$H,8,0),CEILING(LEN(E33)*7/(J33-24),1)*16+20))</f>
        <v>36</v>
      </c>
      <c r="L33" s="10"/>
      <c r="M33" s="10" t="s">
        <v>550</v>
      </c>
    </row>
    <row r="34" customFormat="false" ht="15" hidden="false" customHeight="false" outlineLevel="0" collapsed="false">
      <c r="A34" s="10" t="s">
        <v>460</v>
      </c>
      <c r="B34" s="10" t="s">
        <v>551</v>
      </c>
      <c r="C34" s="10"/>
      <c r="D34" s="10" t="s">
        <v>274</v>
      </c>
      <c r="E34" s="10" t="s">
        <v>552</v>
      </c>
      <c r="F34" s="10" t="n">
        <v>2</v>
      </c>
      <c r="G34" s="10" t="n">
        <v>2</v>
      </c>
      <c r="H34" s="10"/>
      <c r="I34" s="10"/>
      <c r="J34" s="10" t="n">
        <f aca="false">IF(H34&lt;&gt;"",H34,MIN(260,MAX(VLOOKUP(D34,Shape_Library!$A:$H,7,0),LEN(E34)*7+24)))</f>
        <v>160</v>
      </c>
      <c r="K34" s="10" t="n">
        <f aca="false">IF(I34&lt;&gt;"",I34,MAX(VLOOKUP(D34,Shape_Library!$A:$H,8,0),CEILING(LEN(E34)*7/(J34-24),1)*16+20))</f>
        <v>36</v>
      </c>
      <c r="L34" s="10"/>
      <c r="M34" s="10" t="s">
        <v>553</v>
      </c>
    </row>
    <row r="35" customFormat="false" ht="15" hidden="false" customHeight="false" outlineLevel="0" collapsed="false">
      <c r="A35" s="10" t="s">
        <v>460</v>
      </c>
      <c r="B35" s="10" t="s">
        <v>554</v>
      </c>
      <c r="C35" s="10"/>
      <c r="D35" s="10" t="s">
        <v>274</v>
      </c>
      <c r="E35" s="10" t="s">
        <v>555</v>
      </c>
      <c r="F35" s="10" t="n">
        <v>2</v>
      </c>
      <c r="G35" s="10" t="n">
        <v>1</v>
      </c>
      <c r="H35" s="10"/>
      <c r="I35" s="10"/>
      <c r="J35" s="10" t="n">
        <f aca="false">IF(H35&lt;&gt;"",H35,MIN(260,MAX(VLOOKUP(D35,Shape_Library!$A:$H,7,0),LEN(E35)*7+24)))</f>
        <v>160</v>
      </c>
      <c r="K35" s="10" t="n">
        <f aca="false">IF(I35&lt;&gt;"",I35,MAX(VLOOKUP(D35,Shape_Library!$A:$H,8,0),CEILING(LEN(E35)*7/(J35-24),1)*16+20))</f>
        <v>36</v>
      </c>
      <c r="L35" s="10"/>
      <c r="M35" s="10" t="s">
        <v>556</v>
      </c>
    </row>
  </sheetData>
  <autoFilter ref="A1:M3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18"/>
    <col collapsed="false" customWidth="true" hidden="false" outlineLevel="0" max="7" min="6" style="0" width="14"/>
    <col collapsed="false" customWidth="true" hidden="false" outlineLevel="0" max="8" min="8" style="0" width="38"/>
  </cols>
  <sheetData>
    <row r="1" customFormat="false" ht="23.85" hidden="false" customHeight="false" outlineLevel="0" collapsed="false">
      <c r="A1" s="4" t="s">
        <v>437</v>
      </c>
      <c r="B1" s="4" t="s">
        <v>557</v>
      </c>
      <c r="C1" s="4" t="s">
        <v>558</v>
      </c>
      <c r="D1" s="4" t="s">
        <v>559</v>
      </c>
      <c r="E1" s="4" t="s">
        <v>284</v>
      </c>
      <c r="F1" s="4" t="s">
        <v>467</v>
      </c>
      <c r="G1" s="4" t="s">
        <v>560</v>
      </c>
      <c r="H1" s="4" t="s">
        <v>148</v>
      </c>
    </row>
    <row r="2" customFormat="false" ht="15" hidden="false" customHeight="false" outlineLevel="0" collapsed="false">
      <c r="A2" s="10" t="s">
        <v>441</v>
      </c>
      <c r="B2" s="10" t="s">
        <v>561</v>
      </c>
      <c r="C2" s="10" t="s">
        <v>492</v>
      </c>
      <c r="D2" s="10" t="s">
        <v>488</v>
      </c>
      <c r="E2" s="10" t="s">
        <v>309</v>
      </c>
      <c r="F2" s="10"/>
      <c r="G2" s="10"/>
      <c r="H2" s="10" t="s">
        <v>562</v>
      </c>
    </row>
    <row r="3" customFormat="false" ht="15" hidden="false" customHeight="false" outlineLevel="0" collapsed="false">
      <c r="A3" s="10" t="s">
        <v>441</v>
      </c>
      <c r="B3" s="10" t="s">
        <v>563</v>
      </c>
      <c r="C3" s="10" t="s">
        <v>498</v>
      </c>
      <c r="D3" s="10" t="s">
        <v>488</v>
      </c>
      <c r="E3" s="10" t="s">
        <v>309</v>
      </c>
      <c r="F3" s="10"/>
      <c r="G3" s="10"/>
      <c r="H3" s="10"/>
    </row>
    <row r="4" customFormat="false" ht="15" hidden="false" customHeight="false" outlineLevel="0" collapsed="false">
      <c r="A4" s="10" t="s">
        <v>441</v>
      </c>
      <c r="B4" s="10" t="s">
        <v>564</v>
      </c>
      <c r="C4" s="10" t="s">
        <v>492</v>
      </c>
      <c r="D4" s="10" t="s">
        <v>498</v>
      </c>
      <c r="E4" s="10" t="s">
        <v>305</v>
      </c>
      <c r="F4" s="10"/>
      <c r="G4" s="10"/>
      <c r="H4" s="10" t="s">
        <v>565</v>
      </c>
    </row>
    <row r="5" customFormat="false" ht="15" hidden="false" customHeight="false" outlineLevel="0" collapsed="false">
      <c r="A5" s="10" t="s">
        <v>441</v>
      </c>
      <c r="B5" s="10" t="s">
        <v>566</v>
      </c>
      <c r="C5" s="10" t="s">
        <v>495</v>
      </c>
      <c r="D5" s="10" t="s">
        <v>490</v>
      </c>
      <c r="E5" s="10" t="s">
        <v>309</v>
      </c>
      <c r="F5" s="10"/>
      <c r="G5" s="10"/>
      <c r="H5" s="10"/>
    </row>
    <row r="6" customFormat="false" ht="15" hidden="false" customHeight="false" outlineLevel="0" collapsed="false">
      <c r="A6" s="10" t="s">
        <v>441</v>
      </c>
      <c r="B6" s="10" t="s">
        <v>567</v>
      </c>
      <c r="C6" s="10" t="s">
        <v>500</v>
      </c>
      <c r="D6" s="10" t="s">
        <v>492</v>
      </c>
      <c r="E6" s="10" t="s">
        <v>301</v>
      </c>
      <c r="F6" s="10"/>
      <c r="G6" s="10"/>
      <c r="H6" s="10" t="s">
        <v>568</v>
      </c>
    </row>
    <row r="7" customFormat="false" ht="15" hidden="false" customHeight="false" outlineLevel="0" collapsed="false">
      <c r="A7" s="10" t="s">
        <v>441</v>
      </c>
      <c r="B7" s="10" t="s">
        <v>569</v>
      </c>
      <c r="C7" s="10" t="s">
        <v>502</v>
      </c>
      <c r="D7" s="10" t="s">
        <v>495</v>
      </c>
      <c r="E7" s="10" t="s">
        <v>301</v>
      </c>
      <c r="F7" s="10"/>
      <c r="G7" s="10"/>
      <c r="H7" s="10"/>
    </row>
    <row r="8" customFormat="false" ht="15" hidden="false" customHeight="false" outlineLevel="0" collapsed="false">
      <c r="A8" s="10" t="s">
        <v>446</v>
      </c>
      <c r="B8" s="10" t="s">
        <v>570</v>
      </c>
      <c r="C8" s="10" t="s">
        <v>504</v>
      </c>
      <c r="D8" s="10" t="s">
        <v>506</v>
      </c>
      <c r="E8" s="10" t="s">
        <v>325</v>
      </c>
      <c r="F8" s="10"/>
      <c r="G8" s="10"/>
      <c r="H8" s="10"/>
    </row>
    <row r="9" customFormat="false" ht="15" hidden="false" customHeight="false" outlineLevel="0" collapsed="false">
      <c r="A9" s="10" t="s">
        <v>446</v>
      </c>
      <c r="B9" s="10" t="s">
        <v>571</v>
      </c>
      <c r="C9" s="10" t="s">
        <v>506</v>
      </c>
      <c r="D9" s="10" t="s">
        <v>508</v>
      </c>
      <c r="E9" s="10" t="s">
        <v>325</v>
      </c>
      <c r="F9" s="10"/>
      <c r="G9" s="10"/>
      <c r="H9" s="10"/>
    </row>
    <row r="10" customFormat="false" ht="15" hidden="false" customHeight="false" outlineLevel="0" collapsed="false">
      <c r="A10" s="10" t="s">
        <v>446</v>
      </c>
      <c r="B10" s="10" t="s">
        <v>572</v>
      </c>
      <c r="C10" s="10" t="s">
        <v>508</v>
      </c>
      <c r="D10" s="10" t="s">
        <v>510</v>
      </c>
      <c r="E10" s="10" t="s">
        <v>325</v>
      </c>
      <c r="F10" s="10" t="s">
        <v>573</v>
      </c>
      <c r="G10" s="10"/>
      <c r="H10" s="10" t="s">
        <v>574</v>
      </c>
    </row>
    <row r="11" customFormat="false" ht="15" hidden="false" customHeight="false" outlineLevel="0" collapsed="false">
      <c r="A11" s="10" t="s">
        <v>446</v>
      </c>
      <c r="B11" s="10" t="s">
        <v>575</v>
      </c>
      <c r="C11" s="10" t="s">
        <v>508</v>
      </c>
      <c r="D11" s="10" t="s">
        <v>512</v>
      </c>
      <c r="E11" s="10" t="s">
        <v>325</v>
      </c>
      <c r="F11" s="10" t="s">
        <v>71</v>
      </c>
      <c r="G11" s="10" t="s">
        <v>576</v>
      </c>
      <c r="H11" s="10" t="s">
        <v>577</v>
      </c>
    </row>
    <row r="12" customFormat="false" ht="15" hidden="false" customHeight="false" outlineLevel="0" collapsed="false">
      <c r="A12" s="10" t="s">
        <v>446</v>
      </c>
      <c r="B12" s="10" t="s">
        <v>578</v>
      </c>
      <c r="C12" s="10" t="s">
        <v>510</v>
      </c>
      <c r="D12" s="10" t="s">
        <v>514</v>
      </c>
      <c r="E12" s="10" t="s">
        <v>325</v>
      </c>
      <c r="F12" s="10"/>
      <c r="G12" s="10"/>
      <c r="H12" s="10"/>
    </row>
    <row r="13" customFormat="false" ht="15" hidden="false" customHeight="false" outlineLevel="0" collapsed="false">
      <c r="A13" s="10" t="s">
        <v>446</v>
      </c>
      <c r="B13" s="10" t="s">
        <v>579</v>
      </c>
      <c r="C13" s="10" t="s">
        <v>514</v>
      </c>
      <c r="D13" s="10" t="s">
        <v>516</v>
      </c>
      <c r="E13" s="10" t="s">
        <v>325</v>
      </c>
      <c r="F13" s="10"/>
      <c r="G13" s="10"/>
      <c r="H13" s="10"/>
    </row>
    <row r="14" customFormat="false" ht="15" hidden="false" customHeight="false" outlineLevel="0" collapsed="false">
      <c r="A14" s="10" t="s">
        <v>446</v>
      </c>
      <c r="B14" s="10" t="s">
        <v>580</v>
      </c>
      <c r="C14" s="10" t="s">
        <v>512</v>
      </c>
      <c r="D14" s="10" t="s">
        <v>516</v>
      </c>
      <c r="E14" s="10" t="s">
        <v>325</v>
      </c>
      <c r="F14" s="10"/>
      <c r="G14" s="10" t="s">
        <v>576</v>
      </c>
      <c r="H14" s="10" t="s">
        <v>581</v>
      </c>
    </row>
    <row r="15" customFormat="false" ht="15" hidden="false" customHeight="false" outlineLevel="0" collapsed="false">
      <c r="A15" s="10" t="s">
        <v>451</v>
      </c>
      <c r="B15" s="10" t="s">
        <v>582</v>
      </c>
      <c r="C15" s="10" t="s">
        <v>521</v>
      </c>
      <c r="D15" s="10" t="s">
        <v>518</v>
      </c>
      <c r="E15" s="10" t="s">
        <v>93</v>
      </c>
      <c r="F15" s="10"/>
      <c r="G15" s="10"/>
      <c r="H15" s="10"/>
    </row>
    <row r="16" customFormat="false" ht="15" hidden="false" customHeight="false" outlineLevel="0" collapsed="false">
      <c r="A16" s="10" t="s">
        <v>451</v>
      </c>
      <c r="B16" s="10" t="s">
        <v>583</v>
      </c>
      <c r="C16" s="10" t="s">
        <v>523</v>
      </c>
      <c r="D16" s="10" t="s">
        <v>518</v>
      </c>
      <c r="E16" s="10" t="s">
        <v>93</v>
      </c>
      <c r="F16" s="10"/>
      <c r="G16" s="10"/>
      <c r="H16" s="10"/>
    </row>
    <row r="17" customFormat="false" ht="15" hidden="false" customHeight="false" outlineLevel="0" collapsed="false">
      <c r="A17" s="10" t="s">
        <v>451</v>
      </c>
      <c r="B17" s="10" t="s">
        <v>584</v>
      </c>
      <c r="C17" s="10" t="s">
        <v>525</v>
      </c>
      <c r="D17" s="10" t="s">
        <v>521</v>
      </c>
      <c r="E17" s="10" t="s">
        <v>93</v>
      </c>
      <c r="F17" s="10"/>
      <c r="G17" s="10"/>
      <c r="H17" s="10"/>
    </row>
    <row r="18" customFormat="false" ht="15" hidden="false" customHeight="false" outlineLevel="0" collapsed="false">
      <c r="A18" s="10" t="s">
        <v>451</v>
      </c>
      <c r="B18" s="10" t="s">
        <v>585</v>
      </c>
      <c r="C18" s="10" t="s">
        <v>527</v>
      </c>
      <c r="D18" s="10" t="s">
        <v>523</v>
      </c>
      <c r="E18" s="10" t="s">
        <v>93</v>
      </c>
      <c r="F18" s="10"/>
      <c r="G18" s="10"/>
      <c r="H18" s="10"/>
    </row>
    <row r="19" customFormat="false" ht="15" hidden="false" customHeight="false" outlineLevel="0" collapsed="false">
      <c r="A19" s="10" t="s">
        <v>451</v>
      </c>
      <c r="B19" s="10" t="s">
        <v>586</v>
      </c>
      <c r="C19" s="10" t="s">
        <v>525</v>
      </c>
      <c r="D19" s="10" t="s">
        <v>523</v>
      </c>
      <c r="E19" s="10" t="s">
        <v>333</v>
      </c>
      <c r="F19" s="10" t="s">
        <v>587</v>
      </c>
      <c r="G19" s="10"/>
      <c r="H19" s="10" t="s">
        <v>588</v>
      </c>
    </row>
    <row r="20" customFormat="false" ht="15" hidden="false" customHeight="false" outlineLevel="0" collapsed="false">
      <c r="A20" s="10" t="s">
        <v>455</v>
      </c>
      <c r="B20" s="10" t="s">
        <v>589</v>
      </c>
      <c r="C20" s="10" t="s">
        <v>529</v>
      </c>
      <c r="D20" s="10" t="s">
        <v>535</v>
      </c>
      <c r="E20" s="10" t="s">
        <v>336</v>
      </c>
      <c r="F20" s="10" t="s">
        <v>590</v>
      </c>
      <c r="G20" s="10"/>
      <c r="H20" s="10"/>
    </row>
    <row r="21" customFormat="false" ht="15" hidden="false" customHeight="false" outlineLevel="0" collapsed="false">
      <c r="A21" s="10" t="s">
        <v>455</v>
      </c>
      <c r="B21" s="10" t="s">
        <v>591</v>
      </c>
      <c r="C21" s="10" t="s">
        <v>535</v>
      </c>
      <c r="D21" s="10" t="s">
        <v>537</v>
      </c>
      <c r="E21" s="10" t="s">
        <v>336</v>
      </c>
      <c r="F21" s="10"/>
      <c r="G21" s="10"/>
      <c r="H21" s="10"/>
    </row>
    <row r="22" customFormat="false" ht="15" hidden="false" customHeight="false" outlineLevel="0" collapsed="false">
      <c r="A22" s="10" t="s">
        <v>455</v>
      </c>
      <c r="B22" s="10" t="s">
        <v>592</v>
      </c>
      <c r="C22" s="10" t="s">
        <v>537</v>
      </c>
      <c r="D22" s="10" t="s">
        <v>539</v>
      </c>
      <c r="E22" s="10" t="s">
        <v>336</v>
      </c>
      <c r="F22" s="10" t="s">
        <v>593</v>
      </c>
      <c r="G22" s="10"/>
      <c r="H22" s="10"/>
    </row>
    <row r="23" customFormat="false" ht="15" hidden="false" customHeight="false" outlineLevel="0" collapsed="false">
      <c r="A23" s="10" t="s">
        <v>455</v>
      </c>
      <c r="B23" s="10" t="s">
        <v>594</v>
      </c>
      <c r="C23" s="10" t="s">
        <v>537</v>
      </c>
      <c r="D23" s="10" t="s">
        <v>541</v>
      </c>
      <c r="E23" s="10" t="s">
        <v>336</v>
      </c>
      <c r="F23" s="10" t="s">
        <v>593</v>
      </c>
      <c r="G23" s="10"/>
      <c r="H23" s="10" t="s">
        <v>595</v>
      </c>
    </row>
    <row r="24" customFormat="false" ht="15" hidden="false" customHeight="false" outlineLevel="0" collapsed="false">
      <c r="A24" s="10" t="s">
        <v>455</v>
      </c>
      <c r="B24" s="10" t="s">
        <v>596</v>
      </c>
      <c r="C24" s="10" t="s">
        <v>539</v>
      </c>
      <c r="D24" s="10" t="s">
        <v>543</v>
      </c>
      <c r="E24" s="10" t="s">
        <v>339</v>
      </c>
      <c r="F24" s="10" t="s">
        <v>597</v>
      </c>
      <c r="G24" s="10"/>
      <c r="H24" s="10"/>
    </row>
    <row r="25" customFormat="false" ht="15" hidden="false" customHeight="false" outlineLevel="0" collapsed="false">
      <c r="A25" s="10" t="s">
        <v>455</v>
      </c>
      <c r="B25" s="10" t="s">
        <v>598</v>
      </c>
      <c r="C25" s="10" t="s">
        <v>541</v>
      </c>
      <c r="D25" s="10" t="s">
        <v>543</v>
      </c>
      <c r="E25" s="10" t="s">
        <v>339</v>
      </c>
      <c r="F25" s="10" t="s">
        <v>597</v>
      </c>
      <c r="G25" s="10"/>
      <c r="H25" s="10"/>
    </row>
    <row r="26" customFormat="false" ht="15" hidden="false" customHeight="false" outlineLevel="0" collapsed="false">
      <c r="A26" s="10" t="s">
        <v>460</v>
      </c>
      <c r="B26" s="10" t="s">
        <v>599</v>
      </c>
      <c r="C26" s="10" t="s">
        <v>545</v>
      </c>
      <c r="D26" s="10" t="s">
        <v>548</v>
      </c>
      <c r="E26" s="10" t="s">
        <v>345</v>
      </c>
      <c r="F26" s="10" t="s">
        <v>600</v>
      </c>
      <c r="G26" s="10"/>
      <c r="H26" s="10" t="s">
        <v>601</v>
      </c>
    </row>
    <row r="27" customFormat="false" ht="15" hidden="false" customHeight="false" outlineLevel="0" collapsed="false">
      <c r="A27" s="10" t="s">
        <v>460</v>
      </c>
      <c r="B27" s="10" t="s">
        <v>602</v>
      </c>
      <c r="C27" s="10" t="s">
        <v>548</v>
      </c>
      <c r="D27" s="10" t="s">
        <v>551</v>
      </c>
      <c r="E27" s="10" t="s">
        <v>345</v>
      </c>
      <c r="F27" s="10" t="s">
        <v>600</v>
      </c>
      <c r="G27" s="10"/>
      <c r="H27" s="10"/>
    </row>
    <row r="28" customFormat="false" ht="15" hidden="false" customHeight="false" outlineLevel="0" collapsed="false">
      <c r="A28" s="10" t="s">
        <v>460</v>
      </c>
      <c r="B28" s="10" t="s">
        <v>603</v>
      </c>
      <c r="C28" s="10" t="s">
        <v>554</v>
      </c>
      <c r="D28" s="10" t="s">
        <v>551</v>
      </c>
      <c r="E28" s="10" t="s">
        <v>345</v>
      </c>
      <c r="F28" s="10" t="s">
        <v>600</v>
      </c>
      <c r="G28" s="10"/>
      <c r="H28" s="10"/>
    </row>
  </sheetData>
  <autoFilter ref="A1:H2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2026-07-02T10:08:24Z</dcterms:created>
  <dc:creator>openpyxl</dc:creator>
  <dc:description/>
  <dc:language>en-US</dc:language>
  <cp:lastModifiedBy/>
  <dcterms:modified xsi:type="dcterms:W3CDTF">2026-07-02T10:08:24Z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